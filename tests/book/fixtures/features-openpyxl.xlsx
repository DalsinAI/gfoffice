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s" sheetId="1" state="visible" r:id="rId1"/>
    <sheet xmlns:r="http://schemas.openxmlformats.org/officeDocument/2006/relationships" name="Reporting" sheetId="2" state="visible" r:id="rId2"/>
    <sheet xmlns:r="http://schemas.openxmlformats.org/officeDocument/2006/relationships" name="Cost" sheetId="3" state="visible" r:id="rId3"/>
    <sheet xmlns:r="http://schemas.openxmlformats.org/officeDocument/2006/relationships" name="Log" sheetId="4" state="visible" r:id="rId4"/>
    <sheet xmlns:r="http://schemas.openxmlformats.org/officeDocument/2006/relationships" name="Empty" sheetId="5" state="visible" r:id="rId5"/>
    <sheet xmlns:r="http://schemas.openxmlformats.org/officeDocument/2006/relationships" name="Lists" sheetId="6" state="visible" r:id="rId6"/>
    <sheet xmlns:r="http://schemas.openxmlformats.org/officeDocument/2006/relationships" name="Gaps" sheetId="7" state="visible" r:id="rId7"/>
    <sheet xmlns:r="http://schemas.openxmlformats.org/officeDocument/2006/relationships" name="Chart" sheetId="8" state="visible" r:id="rId8"/>
  </sheets>
  <definedNames>
    <definedName name="_xlnm._FilterDatabase" localSheetId="0" hidden="1">'Systems'!$A$6:$I$242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£&quot;#,##0.00"/>
    <numFmt numFmtId="165" formatCode="yyyy-mm-dd"/>
    <numFmt numFmtId="166" formatCode="dd mmm yyyy"/>
    <numFmt numFmtId="167" formatCode="0.0"/>
  </numFmts>
  <fonts count="4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color theme="4"/>
      <sz val="11"/>
    </font>
    <font>
      <name val="Arial"/>
      <b val="1"/>
      <color theme="0"/>
      <sz val="11"/>
    </font>
  </fonts>
  <fills count="3">
    <fill>
      <patternFill/>
    </fill>
    <fill>
      <patternFill patternType="gray125"/>
    </fill>
    <fill>
      <patternFill patternType="solid">
        <fgColor theme="1" tint="0.25"/>
      </patternFill>
    </fill>
  </fills>
  <borders count="3">
    <border>
      <left/>
      <right/>
      <top/>
      <bottom/>
      <diagonal/>
    </border>
    <border>
      <bottom style="medium">
        <color rgb="FF000000"/>
      </bottom>
    </border>
    <border>
      <left style="thin">
        <color theme="1" tint="0.5"/>
      </left>
      <right style="thin">
        <color theme="1" tint="0.5"/>
      </right>
      <top style="thin">
        <color theme="1" tint="0.5"/>
      </top>
      <bottom style="thin">
        <color theme="1" tint="0.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bottom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164" fontId="0" fillId="0" borderId="2" pivotButton="0" quotePrefix="0" xfId="0"/>
    <xf numFmtId="166" fontId="0" fillId="0" borderId="2" pivotButton="0" quotePrefix="0" xfId="0"/>
    <xf numFmtId="167" fontId="0" fillId="0" borderId="2" pivotButton="0" quotePrefix="0" xfId="0"/>
  </cellXfs>
  <cellStyles count="1">
    <cellStyle name="Normal" xfId="0" builtinId="0" hidden="0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 val="1"/>
        <color rgb="FF808080"/>
      </font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Systems by region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'Chart'!$A$1:$A$4</f>
            </numRef>
          </cat>
          <val>
            <numRef>
              <f>'Chart'!$B$1:$B$4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Team 5</author>
    <author>Finance</author>
  </authors>
  <commentList>
    <comment ref="A7" authorId="0" shapeId="0">
      <text>
        <t>Main identity service.
Owner to confirm.</t>
      </text>
    </comment>
    <comment ref="C9" authorId="0" shapeId="0">
      <text>
        <t>Hosted by the supplier</t>
      </text>
    </comment>
    <comment ref="F12" authorId="1" shapeId="0">
      <text>
        <t>Cost per year, before VAT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42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.28" customWidth="1" min="1" max="1"/>
    <col width="22" customWidth="1" min="2" max="2"/>
    <col width="31.42" customWidth="1" min="3" max="3"/>
    <col width="17.42" customWidth="1" min="4" max="4"/>
    <col width="35.57" customWidth="1" min="5" max="5"/>
    <col width="29.71" customWidth="1" min="6" max="6"/>
    <col width="14" customWidth="1" min="7" max="7"/>
    <col width="10" customWidth="1" min="8" max="8"/>
    <col width="30" customWidth="1" min="9" max="9"/>
  </cols>
  <sheetData>
    <row r="2" ht="25.5" customHeight="1">
      <c r="A2" s="1" t="inlineStr">
        <is>
          <t>Systems - Critical Systems List</t>
        </is>
      </c>
    </row>
    <row r="3" ht="15" customHeight="1">
      <c r="A3" s="2" t="inlineStr">
        <is>
          <t>High level critical systems and suppliers</t>
        </is>
      </c>
    </row>
    <row r="5" ht="21.75" customHeight="1">
      <c r="D5" s="3" t="inlineStr">
        <is>
          <t>Figures</t>
        </is>
      </c>
    </row>
    <row r="6" ht="27" customHeight="1">
      <c r="A6" s="4" t="inlineStr">
        <is>
          <t>Application</t>
        </is>
      </c>
      <c r="B6" s="4" t="inlineStr">
        <is>
          <t>Version</t>
        </is>
      </c>
      <c r="C6" s="4" t="inlineStr">
        <is>
          <t>Software/Service Type</t>
        </is>
      </c>
      <c r="D6" s="4" t="inlineStr">
        <is>
          <t>Hosted</t>
        </is>
      </c>
      <c r="E6" s="4" t="inlineStr">
        <is>
          <t>Owner</t>
        </is>
      </c>
      <c r="F6" s="4" t="inlineStr">
        <is>
          <t>Cost</t>
        </is>
      </c>
      <c r="G6" s="4" t="inlineStr">
        <is>
          <t>Renewal</t>
        </is>
      </c>
      <c r="H6" s="4" t="inlineStr">
        <is>
          <t>Score</t>
        </is>
      </c>
      <c r="I6" s="4" t="inlineStr">
        <is>
          <t>Notes</t>
        </is>
      </c>
    </row>
    <row r="7" ht="14.25" customHeight="1">
      <c r="A7" s="5" t="inlineStr">
        <is>
          <t>Directory</t>
        </is>
      </c>
      <c r="B7" s="6" t="inlineStr">
        <is>
          <t>To confirm</t>
        </is>
      </c>
      <c r="C7" s="7" t="inlineStr">
        <is>
          <t>IaaS/PaaS - public cloud</t>
        </is>
      </c>
      <c r="D7" s="8" t="inlineStr">
        <is>
          <t>No</t>
        </is>
      </c>
      <c r="E7" s="9" t="inlineStr">
        <is>
          <t>Team 1</t>
        </is>
      </c>
      <c r="F7" s="10" t="n">
        <v>100</v>
      </c>
      <c r="G7" s="11" t="n">
        <v>46023</v>
      </c>
      <c r="H7" s="12">
        <f>IF(D7="Yes",F7/10,0)</f>
        <v/>
      </c>
      <c r="I7" s="9" t="inlineStr">
        <is>
          <t>Review due</t>
        </is>
      </c>
    </row>
    <row r="8" ht="14.25" customHeight="1">
      <c r="A8" s="5" t="inlineStr">
        <is>
          <t>Mail relay</t>
        </is>
      </c>
      <c r="B8" s="6" t="inlineStr">
        <is>
          <t>N/A</t>
        </is>
      </c>
      <c r="C8" s="7" t="inlineStr">
        <is>
          <t>PaaS - customer identity</t>
        </is>
      </c>
      <c r="D8" s="8" t="inlineStr">
        <is>
          <t>Yes</t>
        </is>
      </c>
      <c r="E8" s="9" t="inlineStr">
        <is>
          <t>Team 2</t>
        </is>
      </c>
      <c r="F8" s="10" t="n">
        <v>137.25</v>
      </c>
      <c r="G8" s="11" t="n">
        <v>46034</v>
      </c>
      <c r="H8" s="12">
        <f>IF(D8="Yes",F8/10,0)</f>
        <v/>
      </c>
      <c r="I8" s="9" t="n"/>
    </row>
    <row r="9" ht="14.25" customHeight="1">
      <c r="A9" s="5" t="inlineStr">
        <is>
          <t>Name service</t>
        </is>
      </c>
      <c r="B9" s="6" t="inlineStr">
        <is>
          <t>N/A</t>
        </is>
      </c>
      <c r="C9" s="7" t="inlineStr">
        <is>
          <t>PaaS - DNS hosting</t>
        </is>
      </c>
      <c r="D9" s="8" t="inlineStr">
        <is>
          <t>Yes</t>
        </is>
      </c>
      <c r="E9" s="9" t="inlineStr">
        <is>
          <t>Team 3</t>
        </is>
      </c>
      <c r="F9" s="10" t="n">
        <v>174.5</v>
      </c>
      <c r="G9" s="11" t="n">
        <v>46045</v>
      </c>
      <c r="H9" s="12">
        <f>IF(D9="Yes",F9/10,0)</f>
        <v/>
      </c>
      <c r="I9" s="9" t="n"/>
    </row>
    <row r="10" ht="14.25" customHeight="1">
      <c r="A10" s="5" t="inlineStr">
        <is>
          <t>Content network</t>
        </is>
      </c>
      <c r="B10" s="6" t="inlineStr">
        <is>
          <t>N/A</t>
        </is>
      </c>
      <c r="C10" s="7" t="inlineStr">
        <is>
          <t>PaaS - content network</t>
        </is>
      </c>
      <c r="D10" s="8" t="inlineStr">
        <is>
          <t>No</t>
        </is>
      </c>
      <c r="E10" s="9" t="inlineStr">
        <is>
          <t>Team 4</t>
        </is>
      </c>
      <c r="F10" s="10" t="n">
        <v>211.75</v>
      </c>
      <c r="G10" s="11" t="n">
        <v>46056</v>
      </c>
      <c r="H10" s="12">
        <f>IF(D10="Yes",F10/10,0)</f>
        <v/>
      </c>
      <c r="I10" s="9" t="n"/>
    </row>
    <row r="11" ht="14.25" customHeight="1">
      <c r="A11" s="5" t="inlineStr">
        <is>
          <t>Firewall</t>
        </is>
      </c>
      <c r="B11" s="6" t="inlineStr">
        <is>
          <t>To confirm</t>
        </is>
      </c>
      <c r="C11" s="7" t="inlineStr">
        <is>
          <t>Self-hosted software - static analysis</t>
        </is>
      </c>
      <c r="D11" s="8" t="inlineStr">
        <is>
          <t>Yes</t>
        </is>
      </c>
      <c r="E11" s="9" t="inlineStr">
        <is>
          <t>Team 5</t>
        </is>
      </c>
      <c r="F11" s="10" t="n">
        <v>248</v>
      </c>
      <c r="G11" s="11" t="n">
        <v>46067</v>
      </c>
      <c r="H11" s="12">
        <f>IF(D11="Yes",F11/10,0)</f>
        <v/>
      </c>
      <c r="I11" s="9" t="n"/>
    </row>
    <row r="12" ht="14.25" customHeight="1">
      <c r="A12" s="5" t="inlineStr">
        <is>
          <t>Edge cache</t>
        </is>
      </c>
      <c r="B12" s="6" t="inlineStr">
        <is>
          <t>N/A</t>
        </is>
      </c>
      <c r="C12" s="7" t="inlineStr">
        <is>
          <t>SaaS - source control</t>
        </is>
      </c>
      <c r="D12" s="8" t="inlineStr">
        <is>
          <t>Yes</t>
        </is>
      </c>
      <c r="E12" s="9" t="inlineStr">
        <is>
          <t>Team 1</t>
        </is>
      </c>
      <c r="F12" s="10" t="n">
        <v>285.25</v>
      </c>
      <c r="G12" s="11" t="n">
        <v>46078</v>
      </c>
      <c r="H12" s="12">
        <f>IF(D12="Yes",F12/10,0)</f>
        <v/>
      </c>
      <c r="I12" s="9" t="n"/>
    </row>
    <row r="13" ht="14.25" customHeight="1">
      <c r="A13" s="5" t="inlineStr">
        <is>
          <t>Build service</t>
        </is>
      </c>
      <c r="B13" s="6" t="inlineStr">
        <is>
          <t>N/A</t>
        </is>
      </c>
      <c r="C13" s="7" t="inlineStr">
        <is>
          <t>IaaS/PaaS - public cloud</t>
        </is>
      </c>
      <c r="D13" s="8" t="inlineStr">
        <is>
          <t>No</t>
        </is>
      </c>
      <c r="E13" s="9" t="inlineStr">
        <is>
          <t>Team 2</t>
        </is>
      </c>
      <c r="F13" s="10" t="n">
        <v>322.5</v>
      </c>
      <c r="G13" s="11" t="n">
        <v>46089</v>
      </c>
      <c r="H13" s="12">
        <f>IF(D13="Yes",F13/10,0)</f>
        <v/>
      </c>
      <c r="I13" s="9" t="n"/>
    </row>
    <row r="14" ht="14.25" customHeight="1">
      <c r="A14" s="5" t="inlineStr">
        <is>
          <t>Code host</t>
        </is>
      </c>
      <c r="B14" s="6" t="inlineStr">
        <is>
          <t>N/A</t>
        </is>
      </c>
      <c r="C14" s="7" t="inlineStr">
        <is>
          <t>PaaS - customer identity</t>
        </is>
      </c>
      <c r="D14" s="8" t="inlineStr">
        <is>
          <t>Yes</t>
        </is>
      </c>
      <c r="E14" s="9" t="inlineStr">
        <is>
          <t>Team 3</t>
        </is>
      </c>
      <c r="F14" s="10" t="n">
        <v>359.75</v>
      </c>
      <c r="G14" s="11" t="n">
        <v>46100</v>
      </c>
      <c r="H14" s="12">
        <f>IF(D14="Yes",F14/10,0)</f>
        <v/>
      </c>
      <c r="I14" s="9" t="inlineStr">
        <is>
          <t>Review due</t>
        </is>
      </c>
    </row>
    <row r="15" ht="14.25" customHeight="1">
      <c r="A15" s="5" t="inlineStr">
        <is>
          <t>Code assistant</t>
        </is>
      </c>
      <c r="B15" s="6" t="inlineStr">
        <is>
          <t>To confirm</t>
        </is>
      </c>
      <c r="C15" s="7" t="inlineStr">
        <is>
          <t>PaaS - DNS hosting</t>
        </is>
      </c>
      <c r="D15" s="8" t="inlineStr">
        <is>
          <t>Yes</t>
        </is>
      </c>
      <c r="E15" s="9" t="inlineStr">
        <is>
          <t>Team 4</t>
        </is>
      </c>
      <c r="F15" s="10" t="n">
        <v>396</v>
      </c>
      <c r="G15" s="11" t="n">
        <v>46111</v>
      </c>
      <c r="H15" s="12">
        <f>IF(D15="Yes",F15/10,0)</f>
        <v/>
      </c>
      <c r="I15" s="9" t="n"/>
    </row>
    <row r="16" ht="14.25" customHeight="1">
      <c r="A16" s="5" t="inlineStr">
        <is>
          <t>Code checks</t>
        </is>
      </c>
      <c r="B16" s="6" t="inlineStr">
        <is>
          <t>N/A</t>
        </is>
      </c>
      <c r="C16" s="7" t="inlineStr">
        <is>
          <t>PaaS - content network</t>
        </is>
      </c>
      <c r="D16" s="8" t="inlineStr">
        <is>
          <t>No</t>
        </is>
      </c>
      <c r="E16" s="9" t="inlineStr">
        <is>
          <t>Team 5</t>
        </is>
      </c>
      <c r="F16" s="10" t="n">
        <v>433.25</v>
      </c>
      <c r="G16" s="11" t="n">
        <v>46122</v>
      </c>
      <c r="H16" s="12">
        <f>IF(D16="Yes",F16/10,0)</f>
        <v/>
      </c>
      <c r="I16" s="9" t="n"/>
    </row>
    <row r="17" ht="14.25" customHeight="1">
      <c r="A17" s="5" t="inlineStr">
        <is>
          <t>Ticket desk</t>
        </is>
      </c>
      <c r="B17" s="6" t="inlineStr">
        <is>
          <t>N/A</t>
        </is>
      </c>
      <c r="C17" s="7" t="inlineStr">
        <is>
          <t>Self-hosted software - static analysis</t>
        </is>
      </c>
      <c r="D17" s="8" t="inlineStr">
        <is>
          <t>Yes</t>
        </is>
      </c>
      <c r="E17" s="9" t="inlineStr">
        <is>
          <t>Team 1</t>
        </is>
      </c>
      <c r="F17" s="10" t="n">
        <v>470.5</v>
      </c>
      <c r="G17" s="11" t="n">
        <v>46133</v>
      </c>
      <c r="H17" s="12">
        <f>IF(D17="Yes",F17/10,0)</f>
        <v/>
      </c>
      <c r="I17" s="9" t="n"/>
    </row>
    <row r="18" ht="14.25" customHeight="1">
      <c r="A18" s="5" t="inlineStr">
        <is>
          <t>Wiki</t>
        </is>
      </c>
      <c r="B18" s="6" t="inlineStr">
        <is>
          <t>N/A</t>
        </is>
      </c>
      <c r="C18" s="7" t="inlineStr">
        <is>
          <t>SaaS - source control</t>
        </is>
      </c>
      <c r="D18" s="8" t="inlineStr">
        <is>
          <t>Yes</t>
        </is>
      </c>
      <c r="E18" s="9" t="inlineStr">
        <is>
          <t>Team 2</t>
        </is>
      </c>
      <c r="F18" s="10" t="n">
        <v>507.75</v>
      </c>
      <c r="G18" s="11" t="n">
        <v>46144</v>
      </c>
      <c r="H18" s="12">
        <f>IF(D18="Yes",F18/10,0)</f>
        <v/>
      </c>
      <c r="I18" s="9" t="n"/>
    </row>
    <row r="19" ht="14.25" customHeight="1">
      <c r="A19" s="5" t="inlineStr">
        <is>
          <t>Chat</t>
        </is>
      </c>
      <c r="B19" s="6" t="inlineStr">
        <is>
          <t>To confirm</t>
        </is>
      </c>
      <c r="C19" s="7" t="inlineStr">
        <is>
          <t>IaaS/PaaS - public cloud</t>
        </is>
      </c>
      <c r="D19" s="8" t="inlineStr">
        <is>
          <t>No</t>
        </is>
      </c>
      <c r="E19" s="9" t="inlineStr">
        <is>
          <t>Team 3</t>
        </is>
      </c>
      <c r="F19" s="10" t="n">
        <v>544</v>
      </c>
      <c r="G19" s="11" t="n">
        <v>46155</v>
      </c>
      <c r="H19" s="12">
        <f>IF(D19="Yes",F19/10,0)</f>
        <v/>
      </c>
      <c r="I19" s="9" t="n"/>
    </row>
    <row r="20" outlineLevel="1" ht="14.25" customHeight="1">
      <c r="A20" s="5" t="inlineStr">
        <is>
          <t>File share</t>
        </is>
      </c>
      <c r="B20" s="6" t="inlineStr">
        <is>
          <t>N/A</t>
        </is>
      </c>
      <c r="C20" s="7" t="inlineStr">
        <is>
          <t>PaaS - customer identity</t>
        </is>
      </c>
      <c r="D20" s="8" t="inlineStr">
        <is>
          <t>Yes</t>
        </is>
      </c>
      <c r="E20" s="9" t="inlineStr">
        <is>
          <t>Team 4</t>
        </is>
      </c>
      <c r="F20" s="10" t="n">
        <v>581.25</v>
      </c>
      <c r="G20" s="11" t="n">
        <v>46166</v>
      </c>
      <c r="H20" s="12">
        <f>IF(D20="Yes",F20/10,0)</f>
        <v/>
      </c>
      <c r="I20" s="9" t="n"/>
    </row>
    <row r="21" outlineLevel="1" ht="14.25" customHeight="1">
      <c r="A21" s="5" t="inlineStr">
        <is>
          <t>Backups</t>
        </is>
      </c>
      <c r="B21" s="6" t="inlineStr">
        <is>
          <t>N/A</t>
        </is>
      </c>
      <c r="C21" s="7" t="inlineStr">
        <is>
          <t>PaaS - DNS hosting</t>
        </is>
      </c>
      <c r="D21" s="8" t="inlineStr">
        <is>
          <t>Yes</t>
        </is>
      </c>
      <c r="E21" s="9" t="inlineStr">
        <is>
          <t>Team 5</t>
        </is>
      </c>
      <c r="F21" s="10" t="n">
        <v>618.5</v>
      </c>
      <c r="G21" s="11" t="n">
        <v>46177</v>
      </c>
      <c r="H21" s="12">
        <f>IF(D21="Yes",F21/10,0)</f>
        <v/>
      </c>
      <c r="I21" s="9" t="inlineStr">
        <is>
          <t>Review due</t>
        </is>
      </c>
    </row>
    <row r="22" outlineLevel="1" ht="14.25" customHeight="1">
      <c r="A22" s="5" t="inlineStr">
        <is>
          <t>Directory 1</t>
        </is>
      </c>
      <c r="B22" s="6" t="inlineStr">
        <is>
          <t>N/A</t>
        </is>
      </c>
      <c r="C22" s="7" t="inlineStr">
        <is>
          <t>PaaS - content network</t>
        </is>
      </c>
      <c r="D22" s="8" t="inlineStr">
        <is>
          <t>No</t>
        </is>
      </c>
      <c r="E22" s="9" t="inlineStr">
        <is>
          <t>Team 1</t>
        </is>
      </c>
      <c r="F22" s="10" t="n">
        <v>655.75</v>
      </c>
      <c r="G22" s="11" t="n">
        <v>46188</v>
      </c>
      <c r="H22" s="12">
        <f>IF(D22="Yes",F22/10,0)</f>
        <v/>
      </c>
      <c r="I22" s="9" t="n"/>
    </row>
    <row r="23" outlineLevel="1" ht="14.25" customHeight="1">
      <c r="A23" s="5" t="inlineStr">
        <is>
          <t>Mail relay 1</t>
        </is>
      </c>
      <c r="B23" s="6" t="inlineStr">
        <is>
          <t>To confirm</t>
        </is>
      </c>
      <c r="C23" s="7" t="inlineStr">
        <is>
          <t>Self-hosted software - static analysis</t>
        </is>
      </c>
      <c r="D23" s="8" t="inlineStr">
        <is>
          <t>Yes</t>
        </is>
      </c>
      <c r="E23" s="9" t="inlineStr">
        <is>
          <t>Team 2</t>
        </is>
      </c>
      <c r="F23" s="10" t="n">
        <v>692</v>
      </c>
      <c r="G23" s="11" t="n">
        <v>46199</v>
      </c>
      <c r="H23" s="12">
        <f>IF(D23="Yes",F23/10,0)</f>
        <v/>
      </c>
      <c r="I23" s="9" t="n"/>
    </row>
    <row r="24" outlineLevel="1" ht="14.25" customHeight="1">
      <c r="A24" s="5" t="inlineStr">
        <is>
          <t>Name service 1</t>
        </is>
      </c>
      <c r="B24" s="6" t="inlineStr">
        <is>
          <t>N/A</t>
        </is>
      </c>
      <c r="C24" s="7" t="inlineStr">
        <is>
          <t>SaaS - source control</t>
        </is>
      </c>
      <c r="D24" s="8" t="inlineStr">
        <is>
          <t>Yes</t>
        </is>
      </c>
      <c r="E24" s="9" t="inlineStr">
        <is>
          <t>Team 3</t>
        </is>
      </c>
      <c r="F24" s="10" t="n">
        <v>729.25</v>
      </c>
      <c r="G24" s="11" t="n">
        <v>46210</v>
      </c>
      <c r="H24" s="12">
        <f>IF(D24="Yes",F24/10,0)</f>
        <v/>
      </c>
      <c r="I24" s="9" t="n"/>
    </row>
    <row r="25" outlineLevel="1" ht="14.25" customHeight="1">
      <c r="A25" s="5" t="inlineStr">
        <is>
          <t>Content network 1</t>
        </is>
      </c>
      <c r="B25" s="6" t="inlineStr">
        <is>
          <t>N/A</t>
        </is>
      </c>
      <c r="C25" s="7" t="inlineStr">
        <is>
          <t>IaaS/PaaS - public cloud</t>
        </is>
      </c>
      <c r="D25" s="8" t="inlineStr">
        <is>
          <t>No</t>
        </is>
      </c>
      <c r="E25" s="9" t="inlineStr">
        <is>
          <t>Team 4</t>
        </is>
      </c>
      <c r="F25" s="10" t="n">
        <v>766.5</v>
      </c>
      <c r="G25" s="11" t="n">
        <v>46221</v>
      </c>
      <c r="H25" s="12">
        <f>IF(D25="Yes",F25/10,0)</f>
        <v/>
      </c>
      <c r="I25" s="9" t="n"/>
    </row>
    <row r="26" outlineLevel="1" ht="14.25" customHeight="1">
      <c r="A26" s="5" t="inlineStr">
        <is>
          <t>Firewall 1</t>
        </is>
      </c>
      <c r="B26" s="6" t="inlineStr">
        <is>
          <t>N/A</t>
        </is>
      </c>
      <c r="C26" s="7" t="inlineStr">
        <is>
          <t>PaaS - customer identity</t>
        </is>
      </c>
      <c r="D26" s="8" t="inlineStr">
        <is>
          <t>Yes</t>
        </is>
      </c>
      <c r="E26" s="9" t="inlineStr">
        <is>
          <t>Team 5</t>
        </is>
      </c>
      <c r="F26" s="10" t="n">
        <v>803.75</v>
      </c>
      <c r="G26" s="11" t="n">
        <v>46232</v>
      </c>
      <c r="H26" s="12">
        <f>IF(D26="Yes",F26/10,0)</f>
        <v/>
      </c>
      <c r="I26" s="9" t="n"/>
    </row>
    <row r="27" outlineLevel="1" ht="14.25" customHeight="1">
      <c r="A27" s="5" t="inlineStr">
        <is>
          <t>Edge cache 1</t>
        </is>
      </c>
      <c r="B27" s="6" t="inlineStr">
        <is>
          <t>To confirm</t>
        </is>
      </c>
      <c r="C27" s="7" t="inlineStr">
        <is>
          <t>PaaS - DNS hosting</t>
        </is>
      </c>
      <c r="D27" s="8" t="inlineStr">
        <is>
          <t>Yes</t>
        </is>
      </c>
      <c r="E27" s="9" t="inlineStr">
        <is>
          <t>Team 1</t>
        </is>
      </c>
      <c r="F27" s="10" t="n">
        <v>840</v>
      </c>
      <c r="G27" s="11" t="n">
        <v>46243</v>
      </c>
      <c r="H27" s="12">
        <f>IF(D27="Yes",F27/10,0)</f>
        <v/>
      </c>
      <c r="I27" s="9" t="n"/>
    </row>
    <row r="28" outlineLevel="1" ht="14.25" customHeight="1">
      <c r="A28" s="5" t="inlineStr">
        <is>
          <t>Build service 1</t>
        </is>
      </c>
      <c r="B28" s="6" t="inlineStr">
        <is>
          <t>N/A</t>
        </is>
      </c>
      <c r="C28" s="7" t="inlineStr">
        <is>
          <t>PaaS - content network</t>
        </is>
      </c>
      <c r="D28" s="8" t="inlineStr">
        <is>
          <t>No</t>
        </is>
      </c>
      <c r="E28" s="9" t="inlineStr">
        <is>
          <t>Team 2</t>
        </is>
      </c>
      <c r="F28" s="10" t="n">
        <v>877.25</v>
      </c>
      <c r="G28" s="11" t="n">
        <v>46254</v>
      </c>
      <c r="H28" s="12">
        <f>IF(D28="Yes",F28/10,0)</f>
        <v/>
      </c>
      <c r="I28" s="9" t="inlineStr">
        <is>
          <t>Review due</t>
        </is>
      </c>
    </row>
    <row r="29" outlineLevel="1" ht="14.25" customHeight="1">
      <c r="A29" s="5" t="inlineStr">
        <is>
          <t>Code host 1</t>
        </is>
      </c>
      <c r="B29" s="6" t="inlineStr">
        <is>
          <t>N/A</t>
        </is>
      </c>
      <c r="C29" s="7" t="inlineStr">
        <is>
          <t>Self-hosted software - static analysis</t>
        </is>
      </c>
      <c r="D29" s="8" t="inlineStr">
        <is>
          <t>Yes</t>
        </is>
      </c>
      <c r="E29" s="9" t="inlineStr">
        <is>
          <t>Team 3</t>
        </is>
      </c>
      <c r="F29" s="10" t="n">
        <v>914.5</v>
      </c>
      <c r="G29" s="11" t="n">
        <v>46265</v>
      </c>
      <c r="H29" s="12">
        <f>IF(D29="Yes",F29/10,0)</f>
        <v/>
      </c>
      <c r="I29" s="9" t="n"/>
    </row>
    <row r="30" outlineLevel="1" ht="14.25" customHeight="1">
      <c r="A30" s="5" t="inlineStr">
        <is>
          <t>Code assistant 1</t>
        </is>
      </c>
      <c r="B30" s="6" t="inlineStr">
        <is>
          <t>N/A</t>
        </is>
      </c>
      <c r="C30" s="7" t="inlineStr">
        <is>
          <t>SaaS - source control</t>
        </is>
      </c>
      <c r="D30" s="8" t="inlineStr">
        <is>
          <t>Yes</t>
        </is>
      </c>
      <c r="E30" s="9" t="inlineStr">
        <is>
          <t>Team 4</t>
        </is>
      </c>
      <c r="F30" s="10" t="n">
        <v>951.75</v>
      </c>
      <c r="G30" s="11" t="n">
        <v>46276</v>
      </c>
      <c r="H30" s="12">
        <f>IF(D30="Yes",F30/10,0)</f>
        <v/>
      </c>
      <c r="I30" s="9" t="n"/>
    </row>
    <row r="31" ht="14.25" customHeight="1">
      <c r="A31" s="5" t="inlineStr">
        <is>
          <t>Code checks 1</t>
        </is>
      </c>
      <c r="B31" s="6" t="inlineStr">
        <is>
          <t>To confirm</t>
        </is>
      </c>
      <c r="C31" s="7" t="inlineStr">
        <is>
          <t>IaaS/PaaS - public cloud</t>
        </is>
      </c>
      <c r="D31" s="8" t="inlineStr">
        <is>
          <t>No</t>
        </is>
      </c>
      <c r="E31" s="9" t="inlineStr">
        <is>
          <t>Team 5</t>
        </is>
      </c>
      <c r="F31" s="10" t="n">
        <v>988</v>
      </c>
      <c r="G31" s="11" t="n">
        <v>46287</v>
      </c>
      <c r="H31" s="12">
        <f>IF(D31="Yes",F31/10,0)</f>
        <v/>
      </c>
      <c r="I31" s="9" t="n"/>
    </row>
    <row r="32" ht="14.25" customHeight="1">
      <c r="A32" s="5" t="inlineStr">
        <is>
          <t>Ticket desk 1</t>
        </is>
      </c>
      <c r="B32" s="6" t="inlineStr">
        <is>
          <t>N/A</t>
        </is>
      </c>
      <c r="C32" s="7" t="inlineStr">
        <is>
          <t>PaaS - customer identity</t>
        </is>
      </c>
      <c r="D32" s="8" t="inlineStr">
        <is>
          <t>Yes</t>
        </is>
      </c>
      <c r="E32" s="9" t="inlineStr">
        <is>
          <t>Team 1</t>
        </is>
      </c>
      <c r="F32" s="10" t="n">
        <v>125.25</v>
      </c>
      <c r="G32" s="11" t="n">
        <v>46298</v>
      </c>
      <c r="H32" s="12">
        <f>IF(D32="Yes",F32/10,0)</f>
        <v/>
      </c>
      <c r="I32" s="9" t="n"/>
    </row>
    <row r="33" ht="14.25" customHeight="1">
      <c r="A33" s="5" t="inlineStr">
        <is>
          <t>Wiki 1</t>
        </is>
      </c>
      <c r="B33" s="6" t="inlineStr">
        <is>
          <t>N/A</t>
        </is>
      </c>
      <c r="C33" s="7" t="inlineStr">
        <is>
          <t>PaaS - DNS hosting</t>
        </is>
      </c>
      <c r="D33" s="8" t="inlineStr">
        <is>
          <t>Yes</t>
        </is>
      </c>
      <c r="E33" s="9" t="inlineStr">
        <is>
          <t>Team 2</t>
        </is>
      </c>
      <c r="F33" s="10" t="n">
        <v>162.5</v>
      </c>
      <c r="G33" s="11" t="n">
        <v>46309</v>
      </c>
      <c r="H33" s="12">
        <f>IF(D33="Yes",F33/10,0)</f>
        <v/>
      </c>
      <c r="I33" s="9" t="n"/>
    </row>
    <row r="34" ht="14.25" customHeight="1">
      <c r="A34" s="5" t="inlineStr">
        <is>
          <t>Chat 1</t>
        </is>
      </c>
      <c r="B34" s="6" t="inlineStr">
        <is>
          <t>N/A</t>
        </is>
      </c>
      <c r="C34" s="7" t="inlineStr">
        <is>
          <t>PaaS - content network</t>
        </is>
      </c>
      <c r="D34" s="8" t="inlineStr">
        <is>
          <t>No</t>
        </is>
      </c>
      <c r="E34" s="9" t="inlineStr">
        <is>
          <t>Team 3</t>
        </is>
      </c>
      <c r="F34" s="10" t="n">
        <v>199.75</v>
      </c>
      <c r="G34" s="11" t="n">
        <v>46320</v>
      </c>
      <c r="H34" s="12">
        <f>IF(D34="Yes",F34/10,0)</f>
        <v/>
      </c>
      <c r="I34" s="9" t="n"/>
    </row>
    <row r="35" ht="14.25" customHeight="1">
      <c r="A35" s="5" t="inlineStr">
        <is>
          <t>File share 1</t>
        </is>
      </c>
      <c r="B35" s="6" t="inlineStr">
        <is>
          <t>To confirm</t>
        </is>
      </c>
      <c r="C35" s="7" t="inlineStr">
        <is>
          <t>Self-hosted software - static analysis</t>
        </is>
      </c>
      <c r="D35" s="8" t="inlineStr">
        <is>
          <t>Yes</t>
        </is>
      </c>
      <c r="E35" s="9" t="inlineStr">
        <is>
          <t>Team 4</t>
        </is>
      </c>
      <c r="F35" s="10" t="n">
        <v>236</v>
      </c>
      <c r="G35" s="11" t="n">
        <v>46331</v>
      </c>
      <c r="H35" s="12">
        <f>IF(D35="Yes",F35/10,0)</f>
        <v/>
      </c>
      <c r="I35" s="9" t="inlineStr">
        <is>
          <t>Review due</t>
        </is>
      </c>
    </row>
    <row r="36" ht="14.25" customHeight="1">
      <c r="A36" s="5" t="inlineStr">
        <is>
          <t>Backups 1</t>
        </is>
      </c>
      <c r="B36" s="6" t="inlineStr">
        <is>
          <t>N/A</t>
        </is>
      </c>
      <c r="C36" s="7" t="inlineStr">
        <is>
          <t>SaaS - source control</t>
        </is>
      </c>
      <c r="D36" s="8" t="inlineStr">
        <is>
          <t>Yes</t>
        </is>
      </c>
      <c r="E36" s="9" t="inlineStr">
        <is>
          <t>Team 5</t>
        </is>
      </c>
      <c r="F36" s="10" t="n">
        <v>273.25</v>
      </c>
      <c r="G36" s="11" t="n">
        <v>46342</v>
      </c>
      <c r="H36" s="12">
        <f>IF(D36="Yes",F36/10,0)</f>
        <v/>
      </c>
      <c r="I36" s="9" t="n"/>
    </row>
    <row r="37" ht="14.25" customHeight="1">
      <c r="A37" s="5" t="inlineStr">
        <is>
          <t>Directory 2</t>
        </is>
      </c>
      <c r="B37" s="6" t="inlineStr">
        <is>
          <t>N/A</t>
        </is>
      </c>
      <c r="C37" s="7" t="inlineStr">
        <is>
          <t>IaaS/PaaS - public cloud</t>
        </is>
      </c>
      <c r="D37" s="8" t="inlineStr">
        <is>
          <t>No</t>
        </is>
      </c>
      <c r="E37" s="9" t="inlineStr">
        <is>
          <t>Team 1</t>
        </is>
      </c>
      <c r="F37" s="10" t="n">
        <v>310.5</v>
      </c>
      <c r="G37" s="11" t="n">
        <v>46353</v>
      </c>
      <c r="H37" s="12">
        <f>IF(D37="Yes",F37/10,0)</f>
        <v/>
      </c>
      <c r="I37" s="9" t="n"/>
    </row>
    <row r="38" ht="14.25" customHeight="1">
      <c r="A38" s="5" t="inlineStr">
        <is>
          <t>Mail relay 2</t>
        </is>
      </c>
      <c r="B38" s="6" t="inlineStr">
        <is>
          <t>N/A</t>
        </is>
      </c>
      <c r="C38" s="7" t="inlineStr">
        <is>
          <t>PaaS - customer identity</t>
        </is>
      </c>
      <c r="D38" s="8" t="inlineStr">
        <is>
          <t>Yes</t>
        </is>
      </c>
      <c r="E38" s="9" t="inlineStr">
        <is>
          <t>Team 2</t>
        </is>
      </c>
      <c r="F38" s="10" t="n">
        <v>347.75</v>
      </c>
      <c r="G38" s="11" t="n">
        <v>46364</v>
      </c>
      <c r="H38" s="12">
        <f>IF(D38="Yes",F38/10,0)</f>
        <v/>
      </c>
      <c r="I38" s="9" t="n"/>
    </row>
    <row r="39" ht="14.25" customHeight="1">
      <c r="A39" s="5" t="inlineStr">
        <is>
          <t>Name service 2</t>
        </is>
      </c>
      <c r="B39" s="6" t="inlineStr">
        <is>
          <t>To confirm</t>
        </is>
      </c>
      <c r="C39" s="7" t="inlineStr">
        <is>
          <t>PaaS - DNS hosting</t>
        </is>
      </c>
      <c r="D39" s="8" t="inlineStr">
        <is>
          <t>Yes</t>
        </is>
      </c>
      <c r="E39" s="9" t="inlineStr">
        <is>
          <t>Team 3</t>
        </is>
      </c>
      <c r="F39" s="10" t="n">
        <v>384</v>
      </c>
      <c r="G39" s="11" t="n">
        <v>46375</v>
      </c>
      <c r="H39" s="12">
        <f>IF(D39="Yes",F39/10,0)</f>
        <v/>
      </c>
      <c r="I39" s="9" t="n"/>
    </row>
    <row r="40" ht="14.25" customHeight="1">
      <c r="A40" s="5" t="inlineStr">
        <is>
          <t>Content network 2</t>
        </is>
      </c>
      <c r="B40" s="6" t="inlineStr">
        <is>
          <t>N/A</t>
        </is>
      </c>
      <c r="C40" s="7" t="inlineStr">
        <is>
          <t>PaaS - content network</t>
        </is>
      </c>
      <c r="D40" s="8" t="inlineStr">
        <is>
          <t>No</t>
        </is>
      </c>
      <c r="E40" s="9" t="inlineStr">
        <is>
          <t>Team 4</t>
        </is>
      </c>
      <c r="F40" s="10" t="n">
        <v>421.25</v>
      </c>
      <c r="G40" s="11" t="n">
        <v>46386</v>
      </c>
      <c r="H40" s="12">
        <f>IF(D40="Yes",F40/10,0)</f>
        <v/>
      </c>
      <c r="I40" s="9" t="n"/>
    </row>
    <row r="41" ht="14.25" customHeight="1">
      <c r="A41" s="5" t="inlineStr">
        <is>
          <t>Firewall 2</t>
        </is>
      </c>
      <c r="B41" s="6" t="inlineStr">
        <is>
          <t>N/A</t>
        </is>
      </c>
      <c r="C41" s="7" t="inlineStr">
        <is>
          <t>Self-hosted software - static analysis</t>
        </is>
      </c>
      <c r="D41" s="8" t="inlineStr">
        <is>
          <t>Yes</t>
        </is>
      </c>
      <c r="E41" s="9" t="inlineStr">
        <is>
          <t>Team 5</t>
        </is>
      </c>
      <c r="F41" s="10" t="n">
        <v>458.5</v>
      </c>
      <c r="G41" s="11" t="n">
        <v>46032</v>
      </c>
      <c r="H41" s="12">
        <f>IF(D41="Yes",F41/10,0)</f>
        <v/>
      </c>
      <c r="I41" s="9" t="n"/>
    </row>
    <row r="42" ht="14.25" customHeight="1">
      <c r="A42" s="5" t="inlineStr">
        <is>
          <t>Edge cache 2</t>
        </is>
      </c>
      <c r="B42" s="6" t="inlineStr">
        <is>
          <t>N/A</t>
        </is>
      </c>
      <c r="C42" s="7" t="inlineStr">
        <is>
          <t>SaaS - source control</t>
        </is>
      </c>
      <c r="D42" s="8" t="inlineStr">
        <is>
          <t>Yes</t>
        </is>
      </c>
      <c r="E42" s="9" t="inlineStr">
        <is>
          <t>Team 1</t>
        </is>
      </c>
      <c r="F42" s="10" t="n">
        <v>495.75</v>
      </c>
      <c r="G42" s="11" t="n">
        <v>46043</v>
      </c>
      <c r="H42" s="12">
        <f>IF(D42="Yes",F42/10,0)</f>
        <v/>
      </c>
      <c r="I42" s="9" t="inlineStr">
        <is>
          <t>Review due</t>
        </is>
      </c>
    </row>
    <row r="43" ht="14.25" customHeight="1">
      <c r="A43" s="5" t="inlineStr">
        <is>
          <t>Build service 2</t>
        </is>
      </c>
      <c r="B43" s="6" t="inlineStr">
        <is>
          <t>To confirm</t>
        </is>
      </c>
      <c r="C43" s="7" t="inlineStr">
        <is>
          <t>IaaS/PaaS - public cloud</t>
        </is>
      </c>
      <c r="D43" s="8" t="inlineStr">
        <is>
          <t>No</t>
        </is>
      </c>
      <c r="E43" s="9" t="inlineStr">
        <is>
          <t>Team 2</t>
        </is>
      </c>
      <c r="F43" s="10" t="n">
        <v>532</v>
      </c>
      <c r="G43" s="11" t="n">
        <v>46054</v>
      </c>
      <c r="H43" s="12">
        <f>IF(D43="Yes",F43/10,0)</f>
        <v/>
      </c>
      <c r="I43" s="9" t="n"/>
    </row>
    <row r="44" ht="14.25" customHeight="1">
      <c r="A44" s="5" t="inlineStr">
        <is>
          <t>Code host 2</t>
        </is>
      </c>
      <c r="B44" s="6" t="inlineStr">
        <is>
          <t>N/A</t>
        </is>
      </c>
      <c r="C44" s="7" t="inlineStr">
        <is>
          <t>PaaS - customer identity</t>
        </is>
      </c>
      <c r="D44" s="8" t="inlineStr">
        <is>
          <t>Yes</t>
        </is>
      </c>
      <c r="E44" s="9" t="inlineStr">
        <is>
          <t>Team 3</t>
        </is>
      </c>
      <c r="F44" s="10" t="n">
        <v>569.25</v>
      </c>
      <c r="G44" s="11" t="n">
        <v>46065</v>
      </c>
      <c r="H44" s="12">
        <f>IF(D44="Yes",F44/10,0)</f>
        <v/>
      </c>
      <c r="I44" s="9" t="n"/>
    </row>
    <row r="45" ht="14.25" customHeight="1">
      <c r="A45" s="5" t="inlineStr">
        <is>
          <t>Code assistant 2</t>
        </is>
      </c>
      <c r="B45" s="6" t="inlineStr">
        <is>
          <t>N/A</t>
        </is>
      </c>
      <c r="C45" s="7" t="inlineStr">
        <is>
          <t>PaaS - DNS hosting</t>
        </is>
      </c>
      <c r="D45" s="8" t="inlineStr">
        <is>
          <t>Yes</t>
        </is>
      </c>
      <c r="E45" s="9" t="inlineStr">
        <is>
          <t>Team 4</t>
        </is>
      </c>
      <c r="F45" s="10" t="n">
        <v>606.5</v>
      </c>
      <c r="G45" s="11" t="n">
        <v>46076</v>
      </c>
      <c r="H45" s="12">
        <f>IF(D45="Yes",F45/10,0)</f>
        <v/>
      </c>
      <c r="I45" s="9" t="n"/>
    </row>
    <row r="46" ht="14.25" customHeight="1">
      <c r="A46" s="5" t="inlineStr">
        <is>
          <t>Code checks 2</t>
        </is>
      </c>
      <c r="B46" s="6" t="inlineStr">
        <is>
          <t>N/A</t>
        </is>
      </c>
      <c r="C46" s="7" t="inlineStr">
        <is>
          <t>PaaS - content network</t>
        </is>
      </c>
      <c r="D46" s="8" t="inlineStr">
        <is>
          <t>No</t>
        </is>
      </c>
      <c r="E46" s="9" t="inlineStr">
        <is>
          <t>Team 5</t>
        </is>
      </c>
      <c r="F46" s="10" t="n">
        <v>643.75</v>
      </c>
      <c r="G46" s="11" t="n">
        <v>46087</v>
      </c>
      <c r="H46" s="12">
        <f>IF(D46="Yes",F46/10,0)</f>
        <v/>
      </c>
      <c r="I46" s="9" t="n"/>
    </row>
    <row r="47" ht="14.25" customHeight="1">
      <c r="A47" s="5" t="inlineStr">
        <is>
          <t>Ticket desk 2</t>
        </is>
      </c>
      <c r="B47" s="6" t="inlineStr">
        <is>
          <t>To confirm</t>
        </is>
      </c>
      <c r="C47" s="7" t="inlineStr">
        <is>
          <t>Self-hosted software - static analysis</t>
        </is>
      </c>
      <c r="D47" s="8" t="inlineStr">
        <is>
          <t>Yes</t>
        </is>
      </c>
      <c r="E47" s="9" t="inlineStr">
        <is>
          <t>Team 1</t>
        </is>
      </c>
      <c r="F47" s="10" t="n">
        <v>680</v>
      </c>
      <c r="G47" s="11" t="n">
        <v>46098</v>
      </c>
      <c r="H47" s="12">
        <f>IF(D47="Yes",F47/10,0)</f>
        <v/>
      </c>
      <c r="I47" s="9" t="n"/>
    </row>
    <row r="48" ht="14.25" customHeight="1">
      <c r="A48" s="5" t="inlineStr">
        <is>
          <t>Wiki 2</t>
        </is>
      </c>
      <c r="B48" s="6" t="inlineStr">
        <is>
          <t>N/A</t>
        </is>
      </c>
      <c r="C48" s="7" t="inlineStr">
        <is>
          <t>SaaS - source control</t>
        </is>
      </c>
      <c r="D48" s="8" t="inlineStr">
        <is>
          <t>Yes</t>
        </is>
      </c>
      <c r="E48" s="9" t="inlineStr">
        <is>
          <t>Team 2</t>
        </is>
      </c>
      <c r="F48" s="10" t="n">
        <v>717.25</v>
      </c>
      <c r="G48" s="11" t="n">
        <v>46109</v>
      </c>
      <c r="H48" s="12">
        <f>IF(D48="Yes",F48/10,0)</f>
        <v/>
      </c>
      <c r="I48" s="9" t="n"/>
    </row>
    <row r="49" ht="14.25" customHeight="1">
      <c r="A49" s="5" t="inlineStr">
        <is>
          <t>Chat 2</t>
        </is>
      </c>
      <c r="B49" s="6" t="inlineStr">
        <is>
          <t>N/A</t>
        </is>
      </c>
      <c r="C49" s="7" t="inlineStr">
        <is>
          <t>IaaS/PaaS - public cloud</t>
        </is>
      </c>
      <c r="D49" s="8" t="inlineStr">
        <is>
          <t>No</t>
        </is>
      </c>
      <c r="E49" s="9" t="inlineStr">
        <is>
          <t>Team 3</t>
        </is>
      </c>
      <c r="F49" s="10" t="n">
        <v>754.5</v>
      </c>
      <c r="G49" s="11" t="n">
        <v>46120</v>
      </c>
      <c r="H49" s="12">
        <f>IF(D49="Yes",F49/10,0)</f>
        <v/>
      </c>
      <c r="I49" s="9" t="inlineStr">
        <is>
          <t>Review due</t>
        </is>
      </c>
    </row>
    <row r="50" ht="14.25" customHeight="1">
      <c r="A50" s="5" t="inlineStr">
        <is>
          <t>File share 2</t>
        </is>
      </c>
      <c r="B50" s="6" t="inlineStr">
        <is>
          <t>N/A</t>
        </is>
      </c>
      <c r="C50" s="7" t="inlineStr">
        <is>
          <t>PaaS - customer identity</t>
        </is>
      </c>
      <c r="D50" s="8" t="inlineStr">
        <is>
          <t>Yes</t>
        </is>
      </c>
      <c r="E50" s="9" t="inlineStr">
        <is>
          <t>Team 4</t>
        </is>
      </c>
      <c r="F50" s="10" t="n">
        <v>791.75</v>
      </c>
      <c r="G50" s="11" t="n">
        <v>46131</v>
      </c>
      <c r="H50" s="12">
        <f>IF(D50="Yes",F50/10,0)</f>
        <v/>
      </c>
      <c r="I50" s="9" t="n"/>
    </row>
    <row r="51" ht="14.25" customHeight="1">
      <c r="A51" s="5" t="inlineStr">
        <is>
          <t>Backups 2</t>
        </is>
      </c>
      <c r="B51" s="6" t="inlineStr">
        <is>
          <t>To confirm</t>
        </is>
      </c>
      <c r="C51" s="7" t="inlineStr">
        <is>
          <t>PaaS - DNS hosting</t>
        </is>
      </c>
      <c r="D51" s="8" t="inlineStr">
        <is>
          <t>Yes</t>
        </is>
      </c>
      <c r="E51" s="9" t="inlineStr">
        <is>
          <t>Team 5</t>
        </is>
      </c>
      <c r="F51" s="10" t="n">
        <v>828</v>
      </c>
      <c r="G51" s="11" t="n">
        <v>46142</v>
      </c>
      <c r="H51" s="12">
        <f>IF(D51="Yes",F51/10,0)</f>
        <v/>
      </c>
      <c r="I51" s="9" t="n"/>
    </row>
    <row r="52" ht="14.25" customHeight="1">
      <c r="A52" s="5" t="inlineStr">
        <is>
          <t>Directory 3</t>
        </is>
      </c>
      <c r="B52" s="6" t="inlineStr">
        <is>
          <t>N/A</t>
        </is>
      </c>
      <c r="C52" s="7" t="inlineStr">
        <is>
          <t>PaaS - content network</t>
        </is>
      </c>
      <c r="D52" s="8" t="inlineStr">
        <is>
          <t>No</t>
        </is>
      </c>
      <c r="E52" s="9" t="inlineStr">
        <is>
          <t>Team 1</t>
        </is>
      </c>
      <c r="F52" s="10" t="n">
        <v>865.25</v>
      </c>
      <c r="G52" s="11" t="n">
        <v>46153</v>
      </c>
      <c r="H52" s="12">
        <f>IF(D52="Yes",F52/10,0)</f>
        <v/>
      </c>
      <c r="I52" s="9" t="n"/>
    </row>
    <row r="53" ht="14.25" customHeight="1">
      <c r="A53" s="5" t="inlineStr">
        <is>
          <t>Mail relay 3</t>
        </is>
      </c>
      <c r="B53" s="6" t="inlineStr">
        <is>
          <t>N/A</t>
        </is>
      </c>
      <c r="C53" s="7" t="inlineStr">
        <is>
          <t>Self-hosted software - static analysis</t>
        </is>
      </c>
      <c r="D53" s="8" t="inlineStr">
        <is>
          <t>Yes</t>
        </is>
      </c>
      <c r="E53" s="9" t="inlineStr">
        <is>
          <t>Team 2</t>
        </is>
      </c>
      <c r="F53" s="10" t="n">
        <v>902.5</v>
      </c>
      <c r="G53" s="11" t="n">
        <v>46164</v>
      </c>
      <c r="H53" s="12">
        <f>IF(D53="Yes",F53/10,0)</f>
        <v/>
      </c>
      <c r="I53" s="9" t="n"/>
    </row>
    <row r="54" ht="14.25" customHeight="1">
      <c r="A54" s="5" t="inlineStr">
        <is>
          <t>Name service 3</t>
        </is>
      </c>
      <c r="B54" s="6" t="inlineStr">
        <is>
          <t>N/A</t>
        </is>
      </c>
      <c r="C54" s="7" t="inlineStr">
        <is>
          <t>SaaS - source control</t>
        </is>
      </c>
      <c r="D54" s="8" t="inlineStr">
        <is>
          <t>Yes</t>
        </is>
      </c>
      <c r="E54" s="9" t="inlineStr">
        <is>
          <t>Team 3</t>
        </is>
      </c>
      <c r="F54" s="10" t="n">
        <v>939.75</v>
      </c>
      <c r="G54" s="11" t="n">
        <v>46175</v>
      </c>
      <c r="H54" s="12">
        <f>IF(D54="Yes",F54/10,0)</f>
        <v/>
      </c>
      <c r="I54" s="9" t="n"/>
    </row>
    <row r="55" ht="14.25" customHeight="1">
      <c r="A55" s="5" t="inlineStr">
        <is>
          <t>Content network 3</t>
        </is>
      </c>
      <c r="B55" s="6" t="inlineStr">
        <is>
          <t>To confirm</t>
        </is>
      </c>
      <c r="C55" s="7" t="inlineStr">
        <is>
          <t>IaaS/PaaS - public cloud</t>
        </is>
      </c>
      <c r="D55" s="8" t="inlineStr">
        <is>
          <t>No</t>
        </is>
      </c>
      <c r="E55" s="9" t="inlineStr">
        <is>
          <t>Team 4</t>
        </is>
      </c>
      <c r="F55" s="10" t="n">
        <v>976</v>
      </c>
      <c r="G55" s="11" t="n">
        <v>46186</v>
      </c>
      <c r="H55" s="12">
        <f>IF(D55="Yes",F55/10,0)</f>
        <v/>
      </c>
      <c r="I55" s="9" t="n"/>
    </row>
    <row r="56" ht="14.25" customHeight="1">
      <c r="A56" s="5" t="inlineStr">
        <is>
          <t>Firewall 3</t>
        </is>
      </c>
      <c r="B56" s="6" t="inlineStr">
        <is>
          <t>N/A</t>
        </is>
      </c>
      <c r="C56" s="7" t="inlineStr">
        <is>
          <t>PaaS - customer identity</t>
        </is>
      </c>
      <c r="D56" s="8" t="inlineStr">
        <is>
          <t>Yes</t>
        </is>
      </c>
      <c r="E56" s="9" t="inlineStr">
        <is>
          <t>Team 5</t>
        </is>
      </c>
      <c r="F56" s="10" t="n">
        <v>113.25</v>
      </c>
      <c r="G56" s="11" t="n">
        <v>46197</v>
      </c>
      <c r="H56" s="12">
        <f>IF(D56="Yes",F56/10,0)</f>
        <v/>
      </c>
      <c r="I56" s="9" t="inlineStr">
        <is>
          <t>Review due</t>
        </is>
      </c>
    </row>
    <row r="57" ht="14.25" customHeight="1">
      <c r="A57" s="5" t="inlineStr">
        <is>
          <t>Edge cache 3</t>
        </is>
      </c>
      <c r="B57" s="6" t="inlineStr">
        <is>
          <t>N/A</t>
        </is>
      </c>
      <c r="C57" s="7" t="inlineStr">
        <is>
          <t>PaaS - DNS hosting</t>
        </is>
      </c>
      <c r="D57" s="8" t="inlineStr">
        <is>
          <t>Yes</t>
        </is>
      </c>
      <c r="E57" s="9" t="inlineStr">
        <is>
          <t>Team 1</t>
        </is>
      </c>
      <c r="F57" s="10" t="n">
        <v>150.5</v>
      </c>
      <c r="G57" s="11" t="n">
        <v>46208</v>
      </c>
      <c r="H57" s="12">
        <f>IF(D57="Yes",F57/10,0)</f>
        <v/>
      </c>
      <c r="I57" s="9" t="n"/>
    </row>
    <row r="58" ht="14.25" customHeight="1">
      <c r="A58" s="5" t="inlineStr">
        <is>
          <t>Build service 3</t>
        </is>
      </c>
      <c r="B58" s="6" t="inlineStr">
        <is>
          <t>N/A</t>
        </is>
      </c>
      <c r="C58" s="7" t="inlineStr">
        <is>
          <t>PaaS - content network</t>
        </is>
      </c>
      <c r="D58" s="8" t="inlineStr">
        <is>
          <t>No</t>
        </is>
      </c>
      <c r="E58" s="9" t="inlineStr">
        <is>
          <t>Team 2</t>
        </is>
      </c>
      <c r="F58" s="10" t="n">
        <v>187.75</v>
      </c>
      <c r="G58" s="11" t="n">
        <v>46219</v>
      </c>
      <c r="H58" s="12">
        <f>IF(D58="Yes",F58/10,0)</f>
        <v/>
      </c>
      <c r="I58" s="9" t="n"/>
    </row>
    <row r="59" ht="14.25" customHeight="1">
      <c r="A59" s="5" t="inlineStr">
        <is>
          <t>Code host 3</t>
        </is>
      </c>
      <c r="B59" s="6" t="inlineStr">
        <is>
          <t>To confirm</t>
        </is>
      </c>
      <c r="C59" s="7" t="inlineStr">
        <is>
          <t>Self-hosted software - static analysis</t>
        </is>
      </c>
      <c r="D59" s="8" t="inlineStr">
        <is>
          <t>Yes</t>
        </is>
      </c>
      <c r="E59" s="9" t="inlineStr">
        <is>
          <t>Team 3</t>
        </is>
      </c>
      <c r="F59" s="10" t="n">
        <v>224</v>
      </c>
      <c r="G59" s="11" t="n">
        <v>46230</v>
      </c>
      <c r="H59" s="12">
        <f>IF(D59="Yes",F59/10,0)</f>
        <v/>
      </c>
      <c r="I59" s="9" t="n"/>
    </row>
    <row r="60" ht="14.25" customHeight="1">
      <c r="A60" s="5" t="inlineStr">
        <is>
          <t>Code assistant 3</t>
        </is>
      </c>
      <c r="B60" s="6" t="inlineStr">
        <is>
          <t>N/A</t>
        </is>
      </c>
      <c r="C60" s="7" t="inlineStr">
        <is>
          <t>SaaS - source control</t>
        </is>
      </c>
      <c r="D60" s="8" t="inlineStr">
        <is>
          <t>Yes</t>
        </is>
      </c>
      <c r="E60" s="9" t="inlineStr">
        <is>
          <t>Team 4</t>
        </is>
      </c>
      <c r="F60" s="10" t="n">
        <v>261.25</v>
      </c>
      <c r="G60" s="11" t="n">
        <v>46241</v>
      </c>
      <c r="H60" s="12">
        <f>IF(D60="Yes",F60/10,0)</f>
        <v/>
      </c>
      <c r="I60" s="9" t="n"/>
    </row>
    <row r="61" ht="14.25" customHeight="1">
      <c r="A61" s="5" t="inlineStr">
        <is>
          <t>Code checks 3</t>
        </is>
      </c>
      <c r="B61" s="6" t="inlineStr">
        <is>
          <t>N/A</t>
        </is>
      </c>
      <c r="C61" s="7" t="inlineStr">
        <is>
          <t>IaaS/PaaS - public cloud</t>
        </is>
      </c>
      <c r="D61" s="8" t="inlineStr">
        <is>
          <t>No</t>
        </is>
      </c>
      <c r="E61" s="9" t="inlineStr">
        <is>
          <t>Team 5</t>
        </is>
      </c>
      <c r="F61" s="10" t="n">
        <v>298.5</v>
      </c>
      <c r="G61" s="11" t="n">
        <v>46252</v>
      </c>
      <c r="H61" s="12">
        <f>IF(D61="Yes",F61/10,0)</f>
        <v/>
      </c>
      <c r="I61" s="9" t="n"/>
    </row>
    <row r="62" ht="14.25" customHeight="1">
      <c r="A62" s="5" t="inlineStr">
        <is>
          <t>Ticket desk 3</t>
        </is>
      </c>
      <c r="B62" s="6" t="inlineStr">
        <is>
          <t>N/A</t>
        </is>
      </c>
      <c r="C62" s="7" t="inlineStr">
        <is>
          <t>PaaS - customer identity</t>
        </is>
      </c>
      <c r="D62" s="8" t="inlineStr">
        <is>
          <t>Yes</t>
        </is>
      </c>
      <c r="E62" s="9" t="inlineStr">
        <is>
          <t>Team 1</t>
        </is>
      </c>
      <c r="F62" s="10" t="n">
        <v>335.75</v>
      </c>
      <c r="G62" s="11" t="n">
        <v>46263</v>
      </c>
      <c r="H62" s="12">
        <f>IF(D62="Yes",F62/10,0)</f>
        <v/>
      </c>
      <c r="I62" s="9" t="n"/>
    </row>
    <row r="63" ht="14.25" customHeight="1">
      <c r="A63" s="5" t="inlineStr">
        <is>
          <t>Wiki 3</t>
        </is>
      </c>
      <c r="B63" s="6" t="inlineStr">
        <is>
          <t>To confirm</t>
        </is>
      </c>
      <c r="C63" s="7" t="inlineStr">
        <is>
          <t>PaaS - DNS hosting</t>
        </is>
      </c>
      <c r="D63" s="8" t="inlineStr">
        <is>
          <t>Yes</t>
        </is>
      </c>
      <c r="E63" s="9" t="inlineStr">
        <is>
          <t>Team 2</t>
        </is>
      </c>
      <c r="F63" s="10" t="n">
        <v>372</v>
      </c>
      <c r="G63" s="11" t="n">
        <v>46274</v>
      </c>
      <c r="H63" s="12">
        <f>IF(D63="Yes",F63/10,0)</f>
        <v/>
      </c>
      <c r="I63" s="9" t="inlineStr">
        <is>
          <t>Review due</t>
        </is>
      </c>
    </row>
    <row r="64" ht="14.25" customHeight="1">
      <c r="A64" s="5" t="inlineStr">
        <is>
          <t>Chat 3</t>
        </is>
      </c>
      <c r="B64" s="6" t="inlineStr">
        <is>
          <t>N/A</t>
        </is>
      </c>
      <c r="C64" s="7" t="inlineStr">
        <is>
          <t>PaaS - content network</t>
        </is>
      </c>
      <c r="D64" s="8" t="inlineStr">
        <is>
          <t>No</t>
        </is>
      </c>
      <c r="E64" s="9" t="inlineStr">
        <is>
          <t>Team 3</t>
        </is>
      </c>
      <c r="F64" s="10" t="n">
        <v>409.25</v>
      </c>
      <c r="G64" s="11" t="n">
        <v>46285</v>
      </c>
      <c r="H64" s="12">
        <f>IF(D64="Yes",F64/10,0)</f>
        <v/>
      </c>
      <c r="I64" s="9" t="n"/>
    </row>
    <row r="65" ht="14.25" customHeight="1">
      <c r="A65" s="5" t="inlineStr">
        <is>
          <t>File share 3</t>
        </is>
      </c>
      <c r="B65" s="6" t="inlineStr">
        <is>
          <t>N/A</t>
        </is>
      </c>
      <c r="C65" s="7" t="inlineStr">
        <is>
          <t>Self-hosted software - static analysis</t>
        </is>
      </c>
      <c r="D65" s="8" t="inlineStr">
        <is>
          <t>Yes</t>
        </is>
      </c>
      <c r="E65" s="9" t="inlineStr">
        <is>
          <t>Team 4</t>
        </is>
      </c>
      <c r="F65" s="10" t="n">
        <v>446.5</v>
      </c>
      <c r="G65" s="11" t="n">
        <v>46296</v>
      </c>
      <c r="H65" s="12">
        <f>IF(D65="Yes",F65/10,0)</f>
        <v/>
      </c>
      <c r="I65" s="9" t="n"/>
    </row>
    <row r="66" ht="14.25" customHeight="1">
      <c r="A66" s="5" t="inlineStr">
        <is>
          <t>Backups 3</t>
        </is>
      </c>
      <c r="B66" s="6" t="inlineStr">
        <is>
          <t>N/A</t>
        </is>
      </c>
      <c r="C66" s="7" t="inlineStr">
        <is>
          <t>SaaS - source control</t>
        </is>
      </c>
      <c r="D66" s="8" t="inlineStr">
        <is>
          <t>Yes</t>
        </is>
      </c>
      <c r="E66" s="9" t="inlineStr">
        <is>
          <t>Team 5</t>
        </is>
      </c>
      <c r="F66" s="10" t="n">
        <v>483.75</v>
      </c>
      <c r="G66" s="11" t="n">
        <v>46307</v>
      </c>
      <c r="H66" s="12">
        <f>IF(D66="Yes",F66/10,0)</f>
        <v/>
      </c>
      <c r="I66" s="9" t="n"/>
    </row>
    <row r="67" ht="14.25" customHeight="1">
      <c r="A67" s="5" t="inlineStr">
        <is>
          <t>Directory 4</t>
        </is>
      </c>
      <c r="B67" s="6" t="inlineStr">
        <is>
          <t>To confirm</t>
        </is>
      </c>
      <c r="C67" s="7" t="inlineStr">
        <is>
          <t>IaaS/PaaS - public cloud</t>
        </is>
      </c>
      <c r="D67" s="8" t="inlineStr">
        <is>
          <t>No</t>
        </is>
      </c>
      <c r="E67" s="9" t="inlineStr">
        <is>
          <t>Team 1</t>
        </is>
      </c>
      <c r="F67" s="10" t="n">
        <v>520</v>
      </c>
      <c r="G67" s="11" t="n">
        <v>46318</v>
      </c>
      <c r="H67" s="12">
        <f>IF(D67="Yes",F67/10,0)</f>
        <v/>
      </c>
      <c r="I67" s="9" t="n"/>
    </row>
    <row r="68" ht="14.25" customHeight="1">
      <c r="A68" s="5" t="inlineStr">
        <is>
          <t>Mail relay 4</t>
        </is>
      </c>
      <c r="B68" s="6" t="inlineStr">
        <is>
          <t>N/A</t>
        </is>
      </c>
      <c r="C68" s="7" t="inlineStr">
        <is>
          <t>PaaS - customer identity</t>
        </is>
      </c>
      <c r="D68" s="8" t="inlineStr">
        <is>
          <t>Yes</t>
        </is>
      </c>
      <c r="E68" s="9" t="inlineStr">
        <is>
          <t>Team 2</t>
        </is>
      </c>
      <c r="F68" s="10" t="n">
        <v>557.25</v>
      </c>
      <c r="G68" s="11" t="n">
        <v>46329</v>
      </c>
      <c r="H68" s="12">
        <f>IF(D68="Yes",F68/10,0)</f>
        <v/>
      </c>
      <c r="I68" s="9" t="n"/>
    </row>
    <row r="69" ht="14.25" customHeight="1">
      <c r="A69" s="5" t="inlineStr">
        <is>
          <t>Name service 4</t>
        </is>
      </c>
      <c r="B69" s="6" t="inlineStr">
        <is>
          <t>N/A</t>
        </is>
      </c>
      <c r="C69" s="7" t="inlineStr">
        <is>
          <t>PaaS - DNS hosting</t>
        </is>
      </c>
      <c r="D69" s="8" t="inlineStr">
        <is>
          <t>Yes</t>
        </is>
      </c>
      <c r="E69" s="9" t="inlineStr">
        <is>
          <t>Team 3</t>
        </is>
      </c>
      <c r="F69" s="10" t="n">
        <v>594.5</v>
      </c>
      <c r="G69" s="11" t="n">
        <v>46340</v>
      </c>
      <c r="H69" s="12">
        <f>IF(D69="Yes",F69/10,0)</f>
        <v/>
      </c>
      <c r="I69" s="9" t="n"/>
    </row>
    <row r="70" ht="14.25" customHeight="1">
      <c r="A70" s="5" t="inlineStr">
        <is>
          <t>Content network 4</t>
        </is>
      </c>
      <c r="B70" s="6" t="inlineStr">
        <is>
          <t>N/A</t>
        </is>
      </c>
      <c r="C70" s="7" t="inlineStr">
        <is>
          <t>PaaS - content network</t>
        </is>
      </c>
      <c r="D70" s="8" t="inlineStr">
        <is>
          <t>No</t>
        </is>
      </c>
      <c r="E70" s="9" t="inlineStr">
        <is>
          <t>Team 4</t>
        </is>
      </c>
      <c r="F70" s="10" t="n">
        <v>631.75</v>
      </c>
      <c r="G70" s="11" t="n">
        <v>46351</v>
      </c>
      <c r="H70" s="12">
        <f>IF(D70="Yes",F70/10,0)</f>
        <v/>
      </c>
      <c r="I70" s="9" t="inlineStr">
        <is>
          <t>Review due</t>
        </is>
      </c>
    </row>
    <row r="71" ht="14.25" customHeight="1">
      <c r="A71" s="5" t="inlineStr">
        <is>
          <t>Firewall 4</t>
        </is>
      </c>
      <c r="B71" s="6" t="inlineStr">
        <is>
          <t>To confirm</t>
        </is>
      </c>
      <c r="C71" s="7" t="inlineStr">
        <is>
          <t>Self-hosted software - static analysis</t>
        </is>
      </c>
      <c r="D71" s="8" t="inlineStr">
        <is>
          <t>Yes</t>
        </is>
      </c>
      <c r="E71" s="9" t="inlineStr">
        <is>
          <t>Team 5</t>
        </is>
      </c>
      <c r="F71" s="10" t="n">
        <v>668</v>
      </c>
      <c r="G71" s="11" t="n">
        <v>46362</v>
      </c>
      <c r="H71" s="12">
        <f>IF(D71="Yes",F71/10,0)</f>
        <v/>
      </c>
      <c r="I71" s="9" t="n"/>
    </row>
    <row r="72" ht="14.25" customHeight="1">
      <c r="A72" s="5" t="inlineStr">
        <is>
          <t>Edge cache 4</t>
        </is>
      </c>
      <c r="B72" s="6" t="inlineStr">
        <is>
          <t>N/A</t>
        </is>
      </c>
      <c r="C72" s="7" t="inlineStr">
        <is>
          <t>SaaS - source control</t>
        </is>
      </c>
      <c r="D72" s="8" t="inlineStr">
        <is>
          <t>Yes</t>
        </is>
      </c>
      <c r="E72" s="9" t="inlineStr">
        <is>
          <t>Team 1</t>
        </is>
      </c>
      <c r="F72" s="10" t="n">
        <v>705.25</v>
      </c>
      <c r="G72" s="11" t="n">
        <v>46373</v>
      </c>
      <c r="H72" s="12">
        <f>IF(D72="Yes",F72/10,0)</f>
        <v/>
      </c>
      <c r="I72" s="9" t="n"/>
    </row>
    <row r="73" ht="14.25" customHeight="1">
      <c r="A73" s="5" t="inlineStr">
        <is>
          <t>Build service 4</t>
        </is>
      </c>
      <c r="B73" s="6" t="inlineStr">
        <is>
          <t>N/A</t>
        </is>
      </c>
      <c r="C73" s="7" t="inlineStr">
        <is>
          <t>IaaS/PaaS - public cloud</t>
        </is>
      </c>
      <c r="D73" s="8" t="inlineStr">
        <is>
          <t>No</t>
        </is>
      </c>
      <c r="E73" s="9" t="inlineStr">
        <is>
          <t>Team 2</t>
        </is>
      </c>
      <c r="F73" s="10" t="n">
        <v>742.5</v>
      </c>
      <c r="G73" s="11" t="n">
        <v>46384</v>
      </c>
      <c r="H73" s="12">
        <f>IF(D73="Yes",F73/10,0)</f>
        <v/>
      </c>
      <c r="I73" s="9" t="n"/>
    </row>
    <row r="74" ht="14.25" customHeight="1">
      <c r="A74" s="5" t="inlineStr">
        <is>
          <t>Code host 4</t>
        </is>
      </c>
      <c r="B74" s="6" t="inlineStr">
        <is>
          <t>N/A</t>
        </is>
      </c>
      <c r="C74" s="7" t="inlineStr">
        <is>
          <t>PaaS - customer identity</t>
        </is>
      </c>
      <c r="D74" s="8" t="inlineStr">
        <is>
          <t>Yes</t>
        </is>
      </c>
      <c r="E74" s="9" t="inlineStr">
        <is>
          <t>Team 3</t>
        </is>
      </c>
      <c r="F74" s="10" t="n">
        <v>779.75</v>
      </c>
      <c r="G74" s="11" t="n">
        <v>46030</v>
      </c>
      <c r="H74" s="12">
        <f>IF(D74="Yes",F74/10,0)</f>
        <v/>
      </c>
      <c r="I74" s="9" t="n"/>
    </row>
    <row r="75" ht="14.25" customHeight="1">
      <c r="A75" s="5" t="inlineStr">
        <is>
          <t>Code assistant 4</t>
        </is>
      </c>
      <c r="B75" s="6" t="inlineStr">
        <is>
          <t>To confirm</t>
        </is>
      </c>
      <c r="C75" s="7" t="inlineStr">
        <is>
          <t>PaaS - DNS hosting</t>
        </is>
      </c>
      <c r="D75" s="8" t="inlineStr">
        <is>
          <t>Yes</t>
        </is>
      </c>
      <c r="E75" s="9" t="inlineStr">
        <is>
          <t>Team 4</t>
        </is>
      </c>
      <c r="F75" s="10" t="n">
        <v>816</v>
      </c>
      <c r="G75" s="11" t="n">
        <v>46041</v>
      </c>
      <c r="H75" s="12">
        <f>IF(D75="Yes",F75/10,0)</f>
        <v/>
      </c>
      <c r="I75" s="9" t="n"/>
    </row>
    <row r="76" ht="14.25" customHeight="1">
      <c r="A76" s="5" t="inlineStr">
        <is>
          <t>Code checks 4</t>
        </is>
      </c>
      <c r="B76" s="6" t="inlineStr">
        <is>
          <t>N/A</t>
        </is>
      </c>
      <c r="C76" s="7" t="inlineStr">
        <is>
          <t>PaaS - content network</t>
        </is>
      </c>
      <c r="D76" s="8" t="inlineStr">
        <is>
          <t>No</t>
        </is>
      </c>
      <c r="E76" s="9" t="inlineStr">
        <is>
          <t>Team 5</t>
        </is>
      </c>
      <c r="F76" s="10" t="n">
        <v>853.25</v>
      </c>
      <c r="G76" s="11" t="n">
        <v>46052</v>
      </c>
      <c r="H76" s="12">
        <f>IF(D76="Yes",F76/10,0)</f>
        <v/>
      </c>
      <c r="I76" s="9" t="n"/>
    </row>
    <row r="77" ht="14.25" customHeight="1">
      <c r="A77" s="5" t="inlineStr">
        <is>
          <t>Ticket desk 4</t>
        </is>
      </c>
      <c r="B77" s="6" t="inlineStr">
        <is>
          <t>N/A</t>
        </is>
      </c>
      <c r="C77" s="7" t="inlineStr">
        <is>
          <t>Self-hosted software - static analysis</t>
        </is>
      </c>
      <c r="D77" s="8" t="inlineStr">
        <is>
          <t>Yes</t>
        </is>
      </c>
      <c r="E77" s="9" t="inlineStr">
        <is>
          <t>Team 1</t>
        </is>
      </c>
      <c r="F77" s="10" t="n">
        <v>890.5</v>
      </c>
      <c r="G77" s="11" t="n">
        <v>46063</v>
      </c>
      <c r="H77" s="12">
        <f>IF(D77="Yes",F77/10,0)</f>
        <v/>
      </c>
      <c r="I77" s="9" t="inlineStr">
        <is>
          <t>Review due</t>
        </is>
      </c>
    </row>
    <row r="78" ht="14.25" customHeight="1">
      <c r="A78" s="5" t="inlineStr">
        <is>
          <t>Wiki 4</t>
        </is>
      </c>
      <c r="B78" s="6" t="inlineStr">
        <is>
          <t>N/A</t>
        </is>
      </c>
      <c r="C78" s="7" t="inlineStr">
        <is>
          <t>SaaS - source control</t>
        </is>
      </c>
      <c r="D78" s="8" t="inlineStr">
        <is>
          <t>Yes</t>
        </is>
      </c>
      <c r="E78" s="9" t="inlineStr">
        <is>
          <t>Team 2</t>
        </is>
      </c>
      <c r="F78" s="10" t="n">
        <v>927.75</v>
      </c>
      <c r="G78" s="11" t="n">
        <v>46074</v>
      </c>
      <c r="H78" s="12">
        <f>IF(D78="Yes",F78/10,0)</f>
        <v/>
      </c>
      <c r="I78" s="9" t="n"/>
    </row>
    <row r="79" ht="14.25" customHeight="1">
      <c r="A79" s="5" t="inlineStr">
        <is>
          <t>Chat 4</t>
        </is>
      </c>
      <c r="B79" s="6" t="inlineStr">
        <is>
          <t>To confirm</t>
        </is>
      </c>
      <c r="C79" s="7" t="inlineStr">
        <is>
          <t>IaaS/PaaS - public cloud</t>
        </is>
      </c>
      <c r="D79" s="8" t="inlineStr">
        <is>
          <t>No</t>
        </is>
      </c>
      <c r="E79" s="9" t="inlineStr">
        <is>
          <t>Team 3</t>
        </is>
      </c>
      <c r="F79" s="10" t="n">
        <v>964</v>
      </c>
      <c r="G79" s="11" t="n">
        <v>46085</v>
      </c>
      <c r="H79" s="12">
        <f>IF(D79="Yes",F79/10,0)</f>
        <v/>
      </c>
      <c r="I79" s="9" t="n"/>
    </row>
    <row r="80" ht="14.25" customHeight="1">
      <c r="A80" s="5" t="inlineStr">
        <is>
          <t>File share 4</t>
        </is>
      </c>
      <c r="B80" s="6" t="inlineStr">
        <is>
          <t>N/A</t>
        </is>
      </c>
      <c r="C80" s="7" t="inlineStr">
        <is>
          <t>PaaS - customer identity</t>
        </is>
      </c>
      <c r="D80" s="8" t="inlineStr">
        <is>
          <t>Yes</t>
        </is>
      </c>
      <c r="E80" s="9" t="inlineStr">
        <is>
          <t>Team 4</t>
        </is>
      </c>
      <c r="F80" s="10" t="n">
        <v>101.25</v>
      </c>
      <c r="G80" s="11" t="n">
        <v>46096</v>
      </c>
      <c r="H80" s="12">
        <f>IF(D80="Yes",F80/10,0)</f>
        <v/>
      </c>
      <c r="I80" s="9" t="n"/>
    </row>
    <row r="81" ht="14.25" customHeight="1">
      <c r="A81" s="5" t="inlineStr">
        <is>
          <t>Backups 4</t>
        </is>
      </c>
      <c r="B81" s="6" t="inlineStr">
        <is>
          <t>N/A</t>
        </is>
      </c>
      <c r="C81" s="7" t="inlineStr">
        <is>
          <t>PaaS - DNS hosting</t>
        </is>
      </c>
      <c r="D81" s="8" t="inlineStr">
        <is>
          <t>Yes</t>
        </is>
      </c>
      <c r="E81" s="9" t="inlineStr">
        <is>
          <t>Team 5</t>
        </is>
      </c>
      <c r="F81" s="10" t="n">
        <v>138.5</v>
      </c>
      <c r="G81" s="11" t="n">
        <v>46107</v>
      </c>
      <c r="H81" s="12">
        <f>IF(D81="Yes",F81/10,0)</f>
        <v/>
      </c>
      <c r="I81" s="9" t="n"/>
    </row>
    <row r="82" ht="14.25" customHeight="1">
      <c r="A82" s="5" t="inlineStr">
        <is>
          <t>Directory 5</t>
        </is>
      </c>
      <c r="B82" s="6" t="inlineStr">
        <is>
          <t>N/A</t>
        </is>
      </c>
      <c r="C82" s="7" t="inlineStr">
        <is>
          <t>PaaS - content network</t>
        </is>
      </c>
      <c r="D82" s="8" t="inlineStr">
        <is>
          <t>No</t>
        </is>
      </c>
      <c r="E82" s="9" t="inlineStr">
        <is>
          <t>Team 1</t>
        </is>
      </c>
      <c r="F82" s="10" t="n">
        <v>175.75</v>
      </c>
      <c r="G82" s="11" t="n">
        <v>46118</v>
      </c>
      <c r="H82" s="12">
        <f>IF(D82="Yes",F82/10,0)</f>
        <v/>
      </c>
      <c r="I82" s="9" t="n"/>
    </row>
    <row r="83" ht="14.25" customHeight="1">
      <c r="A83" s="5" t="inlineStr">
        <is>
          <t>Mail relay 5</t>
        </is>
      </c>
      <c r="B83" s="6" t="inlineStr">
        <is>
          <t>To confirm</t>
        </is>
      </c>
      <c r="C83" s="7" t="inlineStr">
        <is>
          <t>Self-hosted software - static analysis</t>
        </is>
      </c>
      <c r="D83" s="8" t="inlineStr">
        <is>
          <t>Yes</t>
        </is>
      </c>
      <c r="E83" s="9" t="inlineStr">
        <is>
          <t>Team 2</t>
        </is>
      </c>
      <c r="F83" s="10" t="n">
        <v>212</v>
      </c>
      <c r="G83" s="11" t="n">
        <v>46129</v>
      </c>
      <c r="H83" s="12">
        <f>IF(D83="Yes",F83/10,0)</f>
        <v/>
      </c>
      <c r="I83" s="9" t="n"/>
    </row>
    <row r="84" ht="14.25" customHeight="1">
      <c r="A84" s="5" t="inlineStr">
        <is>
          <t>Name service 5</t>
        </is>
      </c>
      <c r="B84" s="6" t="inlineStr">
        <is>
          <t>N/A</t>
        </is>
      </c>
      <c r="C84" s="7" t="inlineStr">
        <is>
          <t>SaaS - source control</t>
        </is>
      </c>
      <c r="D84" s="8" t="inlineStr">
        <is>
          <t>Yes</t>
        </is>
      </c>
      <c r="E84" s="9" t="inlineStr">
        <is>
          <t>Team 3</t>
        </is>
      </c>
      <c r="F84" s="10" t="n">
        <v>249.25</v>
      </c>
      <c r="G84" s="11" t="n">
        <v>46140</v>
      </c>
      <c r="H84" s="12">
        <f>IF(D84="Yes",F84/10,0)</f>
        <v/>
      </c>
      <c r="I84" s="9" t="inlineStr">
        <is>
          <t>Review due</t>
        </is>
      </c>
    </row>
    <row r="85" ht="14.25" customHeight="1">
      <c r="A85" s="5" t="inlineStr">
        <is>
          <t>Content network 5</t>
        </is>
      </c>
      <c r="B85" s="6" t="inlineStr">
        <is>
          <t>N/A</t>
        </is>
      </c>
      <c r="C85" s="7" t="inlineStr">
        <is>
          <t>IaaS/PaaS - public cloud</t>
        </is>
      </c>
      <c r="D85" s="8" t="inlineStr">
        <is>
          <t>No</t>
        </is>
      </c>
      <c r="E85" s="9" t="inlineStr">
        <is>
          <t>Team 4</t>
        </is>
      </c>
      <c r="F85" s="10" t="n">
        <v>286.5</v>
      </c>
      <c r="G85" s="11" t="n">
        <v>46151</v>
      </c>
      <c r="H85" s="12">
        <f>IF(D85="Yes",F85/10,0)</f>
        <v/>
      </c>
      <c r="I85" s="9" t="n"/>
    </row>
    <row r="86" ht="14.25" customHeight="1">
      <c r="A86" s="5" t="inlineStr">
        <is>
          <t>Firewall 5</t>
        </is>
      </c>
      <c r="B86" s="6" t="inlineStr">
        <is>
          <t>N/A</t>
        </is>
      </c>
      <c r="C86" s="7" t="inlineStr">
        <is>
          <t>PaaS - customer identity</t>
        </is>
      </c>
      <c r="D86" s="8" t="inlineStr">
        <is>
          <t>Yes</t>
        </is>
      </c>
      <c r="E86" s="9" t="inlineStr">
        <is>
          <t>Team 5</t>
        </is>
      </c>
      <c r="F86" s="10" t="n">
        <v>323.75</v>
      </c>
      <c r="G86" s="11" t="n">
        <v>46162</v>
      </c>
      <c r="H86" s="12">
        <f>IF(D86="Yes",F86/10,0)</f>
        <v/>
      </c>
      <c r="I86" s="9" t="n"/>
    </row>
    <row r="87" ht="14.25" customHeight="1">
      <c r="A87" s="5" t="inlineStr">
        <is>
          <t>Edge cache 5</t>
        </is>
      </c>
      <c r="B87" s="6" t="inlineStr">
        <is>
          <t>To confirm</t>
        </is>
      </c>
      <c r="C87" s="7" t="inlineStr">
        <is>
          <t>PaaS - DNS hosting</t>
        </is>
      </c>
      <c r="D87" s="8" t="inlineStr">
        <is>
          <t>Yes</t>
        </is>
      </c>
      <c r="E87" s="9" t="inlineStr">
        <is>
          <t>Team 1</t>
        </is>
      </c>
      <c r="F87" s="10" t="n">
        <v>360</v>
      </c>
      <c r="G87" s="11" t="n">
        <v>46173</v>
      </c>
      <c r="H87" s="12">
        <f>IF(D87="Yes",F87/10,0)</f>
        <v/>
      </c>
      <c r="I87" s="9" t="n"/>
    </row>
    <row r="88" ht="14.25" customHeight="1">
      <c r="A88" s="5" t="inlineStr">
        <is>
          <t>Build service 5</t>
        </is>
      </c>
      <c r="B88" s="6" t="inlineStr">
        <is>
          <t>N/A</t>
        </is>
      </c>
      <c r="C88" s="7" t="inlineStr">
        <is>
          <t>PaaS - content network</t>
        </is>
      </c>
      <c r="D88" s="8" t="inlineStr">
        <is>
          <t>No</t>
        </is>
      </c>
      <c r="E88" s="9" t="inlineStr">
        <is>
          <t>Team 2</t>
        </is>
      </c>
      <c r="F88" s="10" t="n">
        <v>397.25</v>
      </c>
      <c r="G88" s="11" t="n">
        <v>46184</v>
      </c>
      <c r="H88" s="12">
        <f>IF(D88="Yes",F88/10,0)</f>
        <v/>
      </c>
      <c r="I88" s="9" t="n"/>
    </row>
    <row r="89" ht="14.25" customHeight="1">
      <c r="A89" s="5" t="inlineStr">
        <is>
          <t>Code host 5</t>
        </is>
      </c>
      <c r="B89" s="6" t="inlineStr">
        <is>
          <t>N/A</t>
        </is>
      </c>
      <c r="C89" s="7" t="inlineStr">
        <is>
          <t>Self-hosted software - static analysis</t>
        </is>
      </c>
      <c r="D89" s="8" t="inlineStr">
        <is>
          <t>Yes</t>
        </is>
      </c>
      <c r="E89" s="9" t="inlineStr">
        <is>
          <t>Team 3</t>
        </is>
      </c>
      <c r="F89" s="10" t="n">
        <v>434.5</v>
      </c>
      <c r="G89" s="11" t="n">
        <v>46195</v>
      </c>
      <c r="H89" s="12">
        <f>IF(D89="Yes",F89/10,0)</f>
        <v/>
      </c>
      <c r="I89" s="9" t="n"/>
    </row>
    <row r="90" ht="14.25" customHeight="1">
      <c r="A90" s="5" t="inlineStr">
        <is>
          <t>Code assistant 5</t>
        </is>
      </c>
      <c r="B90" s="6" t="inlineStr">
        <is>
          <t>N/A</t>
        </is>
      </c>
      <c r="C90" s="7" t="inlineStr">
        <is>
          <t>SaaS - source control</t>
        </is>
      </c>
      <c r="D90" s="8" t="inlineStr">
        <is>
          <t>Yes</t>
        </is>
      </c>
      <c r="E90" s="9" t="inlineStr">
        <is>
          <t>Team 4</t>
        </is>
      </c>
      <c r="F90" s="10" t="n">
        <v>471.75</v>
      </c>
      <c r="G90" s="11" t="n">
        <v>46206</v>
      </c>
      <c r="H90" s="12">
        <f>IF(D90="Yes",F90/10,0)</f>
        <v/>
      </c>
      <c r="I90" s="9" t="n"/>
    </row>
    <row r="91" ht="14.25" customHeight="1">
      <c r="A91" s="5" t="inlineStr">
        <is>
          <t>Code checks 5</t>
        </is>
      </c>
      <c r="B91" s="6" t="inlineStr">
        <is>
          <t>To confirm</t>
        </is>
      </c>
      <c r="C91" s="7" t="inlineStr">
        <is>
          <t>IaaS/PaaS - public cloud</t>
        </is>
      </c>
      <c r="D91" s="8" t="inlineStr">
        <is>
          <t>No</t>
        </is>
      </c>
      <c r="E91" s="9" t="inlineStr">
        <is>
          <t>Team 5</t>
        </is>
      </c>
      <c r="F91" s="10" t="n">
        <v>508</v>
      </c>
      <c r="G91" s="11" t="n">
        <v>46217</v>
      </c>
      <c r="H91" s="12">
        <f>IF(D91="Yes",F91/10,0)</f>
        <v/>
      </c>
      <c r="I91" s="9" t="inlineStr">
        <is>
          <t>Review due</t>
        </is>
      </c>
    </row>
    <row r="92" ht="14.25" customHeight="1">
      <c r="A92" s="5" t="inlineStr">
        <is>
          <t>Ticket desk 5</t>
        </is>
      </c>
      <c r="B92" s="6" t="inlineStr">
        <is>
          <t>N/A</t>
        </is>
      </c>
      <c r="C92" s="7" t="inlineStr">
        <is>
          <t>PaaS - customer identity</t>
        </is>
      </c>
      <c r="D92" s="8" t="inlineStr">
        <is>
          <t>Yes</t>
        </is>
      </c>
      <c r="E92" s="9" t="inlineStr">
        <is>
          <t>Team 1</t>
        </is>
      </c>
      <c r="F92" s="10" t="n">
        <v>545.25</v>
      </c>
      <c r="G92" s="11" t="n">
        <v>46228</v>
      </c>
      <c r="H92" s="12">
        <f>IF(D92="Yes",F92/10,0)</f>
        <v/>
      </c>
      <c r="I92" s="9" t="n"/>
    </row>
    <row r="93" ht="14.25" customHeight="1">
      <c r="A93" s="5" t="inlineStr">
        <is>
          <t>Wiki 5</t>
        </is>
      </c>
      <c r="B93" s="6" t="inlineStr">
        <is>
          <t>N/A</t>
        </is>
      </c>
      <c r="C93" s="7" t="inlineStr">
        <is>
          <t>PaaS - DNS hosting</t>
        </is>
      </c>
      <c r="D93" s="8" t="inlineStr">
        <is>
          <t>Yes</t>
        </is>
      </c>
      <c r="E93" s="9" t="inlineStr">
        <is>
          <t>Team 2</t>
        </is>
      </c>
      <c r="F93" s="10" t="n">
        <v>582.5</v>
      </c>
      <c r="G93" s="11" t="n">
        <v>46239</v>
      </c>
      <c r="H93" s="12">
        <f>IF(D93="Yes",F93/10,0)</f>
        <v/>
      </c>
      <c r="I93" s="9" t="n"/>
    </row>
    <row r="94" ht="14.25" customHeight="1">
      <c r="A94" s="5" t="inlineStr">
        <is>
          <t>Chat 5</t>
        </is>
      </c>
      <c r="B94" s="6" t="inlineStr">
        <is>
          <t>N/A</t>
        </is>
      </c>
      <c r="C94" s="7" t="inlineStr">
        <is>
          <t>PaaS - content network</t>
        </is>
      </c>
      <c r="D94" s="8" t="inlineStr">
        <is>
          <t>No</t>
        </is>
      </c>
      <c r="E94" s="9" t="inlineStr">
        <is>
          <t>Team 3</t>
        </is>
      </c>
      <c r="F94" s="10" t="n">
        <v>619.75</v>
      </c>
      <c r="G94" s="11" t="n">
        <v>46250</v>
      </c>
      <c r="H94" s="12">
        <f>IF(D94="Yes",F94/10,0)</f>
        <v/>
      </c>
      <c r="I94" s="9" t="n"/>
    </row>
    <row r="95" ht="14.25" customHeight="1">
      <c r="A95" s="5" t="inlineStr">
        <is>
          <t>File share 5</t>
        </is>
      </c>
      <c r="B95" s="6" t="inlineStr">
        <is>
          <t>To confirm</t>
        </is>
      </c>
      <c r="C95" s="7" t="inlineStr">
        <is>
          <t>Self-hosted software - static analysis</t>
        </is>
      </c>
      <c r="D95" s="8" t="inlineStr">
        <is>
          <t>Yes</t>
        </is>
      </c>
      <c r="E95" s="9" t="inlineStr">
        <is>
          <t>Team 4</t>
        </is>
      </c>
      <c r="F95" s="10" t="n">
        <v>656</v>
      </c>
      <c r="G95" s="11" t="n">
        <v>46261</v>
      </c>
      <c r="H95" s="12">
        <f>IF(D95="Yes",F95/10,0)</f>
        <v/>
      </c>
      <c r="I95" s="9" t="n"/>
    </row>
    <row r="96" ht="14.25" customHeight="1">
      <c r="A96" s="5" t="inlineStr">
        <is>
          <t>Backups 5</t>
        </is>
      </c>
      <c r="B96" s="6" t="inlineStr">
        <is>
          <t>N/A</t>
        </is>
      </c>
      <c r="C96" s="7" t="inlineStr">
        <is>
          <t>SaaS - source control</t>
        </is>
      </c>
      <c r="D96" s="8" t="inlineStr">
        <is>
          <t>Yes</t>
        </is>
      </c>
      <c r="E96" s="9" t="inlineStr">
        <is>
          <t>Team 5</t>
        </is>
      </c>
      <c r="F96" s="10" t="n">
        <v>693.25</v>
      </c>
      <c r="G96" s="11" t="n">
        <v>46272</v>
      </c>
      <c r="H96" s="12">
        <f>IF(D96="Yes",F96/10,0)</f>
        <v/>
      </c>
      <c r="I96" s="9" t="n"/>
    </row>
    <row r="97" ht="14.25" customHeight="1">
      <c r="A97" s="5" t="inlineStr">
        <is>
          <t>Directory 6</t>
        </is>
      </c>
      <c r="B97" s="6" t="inlineStr">
        <is>
          <t>N/A</t>
        </is>
      </c>
      <c r="C97" s="7" t="inlineStr">
        <is>
          <t>IaaS/PaaS - public cloud</t>
        </is>
      </c>
      <c r="D97" s="8" t="inlineStr">
        <is>
          <t>No</t>
        </is>
      </c>
      <c r="E97" s="9" t="inlineStr">
        <is>
          <t>Team 1</t>
        </is>
      </c>
      <c r="F97" s="10" t="n">
        <v>730.5</v>
      </c>
      <c r="G97" s="11" t="n">
        <v>46283</v>
      </c>
      <c r="H97" s="12">
        <f>IF(D97="Yes",F97/10,0)</f>
        <v/>
      </c>
      <c r="I97" s="9" t="n"/>
    </row>
    <row r="98" ht="14.25" customHeight="1">
      <c r="A98" s="5" t="inlineStr">
        <is>
          <t>Mail relay 6</t>
        </is>
      </c>
      <c r="B98" s="6" t="inlineStr">
        <is>
          <t>N/A</t>
        </is>
      </c>
      <c r="C98" s="7" t="inlineStr">
        <is>
          <t>PaaS - customer identity</t>
        </is>
      </c>
      <c r="D98" s="8" t="inlineStr">
        <is>
          <t>Yes</t>
        </is>
      </c>
      <c r="E98" s="9" t="inlineStr">
        <is>
          <t>Team 2</t>
        </is>
      </c>
      <c r="F98" s="10" t="n">
        <v>767.75</v>
      </c>
      <c r="G98" s="11" t="n">
        <v>46294</v>
      </c>
      <c r="H98" s="12">
        <f>IF(D98="Yes",F98/10,0)</f>
        <v/>
      </c>
      <c r="I98" s="9" t="inlineStr">
        <is>
          <t>Review due</t>
        </is>
      </c>
    </row>
    <row r="99" ht="14.25" customHeight="1">
      <c r="A99" s="5" t="inlineStr">
        <is>
          <t>Name service 6</t>
        </is>
      </c>
      <c r="B99" s="6" t="inlineStr">
        <is>
          <t>To confirm</t>
        </is>
      </c>
      <c r="C99" s="7" t="inlineStr">
        <is>
          <t>PaaS - DNS hosting</t>
        </is>
      </c>
      <c r="D99" s="8" t="inlineStr">
        <is>
          <t>Yes</t>
        </is>
      </c>
      <c r="E99" s="9" t="inlineStr">
        <is>
          <t>Team 3</t>
        </is>
      </c>
      <c r="F99" s="10" t="n">
        <v>804</v>
      </c>
      <c r="G99" s="11" t="n">
        <v>46305</v>
      </c>
      <c r="H99" s="12">
        <f>IF(D99="Yes",F99/10,0)</f>
        <v/>
      </c>
      <c r="I99" s="9" t="n"/>
    </row>
    <row r="100" ht="14.25" customHeight="1">
      <c r="A100" s="5" t="inlineStr">
        <is>
          <t>Content network 6</t>
        </is>
      </c>
      <c r="B100" s="6" t="inlineStr">
        <is>
          <t>N/A</t>
        </is>
      </c>
      <c r="C100" s="7" t="inlineStr">
        <is>
          <t>PaaS - content network</t>
        </is>
      </c>
      <c r="D100" s="8" t="inlineStr">
        <is>
          <t>No</t>
        </is>
      </c>
      <c r="E100" s="9" t="inlineStr">
        <is>
          <t>Team 4</t>
        </is>
      </c>
      <c r="F100" s="10" t="n">
        <v>841.25</v>
      </c>
      <c r="G100" s="11" t="n">
        <v>46316</v>
      </c>
      <c r="H100" s="12">
        <f>IF(D100="Yes",F100/10,0)</f>
        <v/>
      </c>
      <c r="I100" s="9" t="n"/>
    </row>
    <row r="101" ht="14.25" customHeight="1">
      <c r="A101" s="5" t="inlineStr">
        <is>
          <t>Firewall 6</t>
        </is>
      </c>
      <c r="B101" s="6" t="inlineStr">
        <is>
          <t>N/A</t>
        </is>
      </c>
      <c r="C101" s="7" t="inlineStr">
        <is>
          <t>Self-hosted software - static analysis</t>
        </is>
      </c>
      <c r="D101" s="8" t="inlineStr">
        <is>
          <t>Yes</t>
        </is>
      </c>
      <c r="E101" s="9" t="inlineStr">
        <is>
          <t>Team 5</t>
        </is>
      </c>
      <c r="F101" s="10" t="n">
        <v>878.5</v>
      </c>
      <c r="G101" s="11" t="n">
        <v>46327</v>
      </c>
      <c r="H101" s="12">
        <f>IF(D101="Yes",F101/10,0)</f>
        <v/>
      </c>
      <c r="I101" s="9" t="n"/>
    </row>
    <row r="102" ht="14.25" customHeight="1">
      <c r="A102" s="5" t="inlineStr">
        <is>
          <t>Edge cache 6</t>
        </is>
      </c>
      <c r="B102" s="6" t="inlineStr">
        <is>
          <t>N/A</t>
        </is>
      </c>
      <c r="C102" s="7" t="inlineStr">
        <is>
          <t>SaaS - source control</t>
        </is>
      </c>
      <c r="D102" s="8" t="inlineStr">
        <is>
          <t>Yes</t>
        </is>
      </c>
      <c r="E102" s="9" t="inlineStr">
        <is>
          <t>Team 1</t>
        </is>
      </c>
      <c r="F102" s="10" t="n">
        <v>915.75</v>
      </c>
      <c r="G102" s="11" t="n">
        <v>46338</v>
      </c>
      <c r="H102" s="12">
        <f>IF(D102="Yes",F102/10,0)</f>
        <v/>
      </c>
      <c r="I102" s="9" t="n"/>
    </row>
    <row r="103" ht="14.25" customHeight="1">
      <c r="A103" s="5" t="inlineStr">
        <is>
          <t>Build service 6</t>
        </is>
      </c>
      <c r="B103" s="6" t="inlineStr">
        <is>
          <t>To confirm</t>
        </is>
      </c>
      <c r="C103" s="7" t="inlineStr">
        <is>
          <t>IaaS/PaaS - public cloud</t>
        </is>
      </c>
      <c r="D103" s="8" t="inlineStr">
        <is>
          <t>No</t>
        </is>
      </c>
      <c r="E103" s="9" t="inlineStr">
        <is>
          <t>Team 2</t>
        </is>
      </c>
      <c r="F103" s="10" t="n">
        <v>952</v>
      </c>
      <c r="G103" s="11" t="n">
        <v>46349</v>
      </c>
      <c r="H103" s="12">
        <f>IF(D103="Yes",F103/10,0)</f>
        <v/>
      </c>
      <c r="I103" s="9" t="n"/>
    </row>
    <row r="104" ht="14.25" customHeight="1">
      <c r="A104" s="5" t="inlineStr">
        <is>
          <t>Code host 6</t>
        </is>
      </c>
      <c r="B104" s="6" t="inlineStr">
        <is>
          <t>N/A</t>
        </is>
      </c>
      <c r="C104" s="7" t="inlineStr">
        <is>
          <t>PaaS - customer identity</t>
        </is>
      </c>
      <c r="D104" s="8" t="inlineStr">
        <is>
          <t>Yes</t>
        </is>
      </c>
      <c r="E104" s="9" t="inlineStr">
        <is>
          <t>Team 3</t>
        </is>
      </c>
      <c r="F104" s="10" t="n">
        <v>989.25</v>
      </c>
      <c r="G104" s="11" t="n">
        <v>46360</v>
      </c>
      <c r="H104" s="12">
        <f>IF(D104="Yes",F104/10,0)</f>
        <v/>
      </c>
      <c r="I104" s="9" t="n"/>
    </row>
    <row r="105" ht="14.25" customHeight="1">
      <c r="A105" s="5" t="inlineStr">
        <is>
          <t>Code assistant 6</t>
        </is>
      </c>
      <c r="B105" s="6" t="inlineStr">
        <is>
          <t>N/A</t>
        </is>
      </c>
      <c r="C105" s="7" t="inlineStr">
        <is>
          <t>PaaS - DNS hosting</t>
        </is>
      </c>
      <c r="D105" s="8" t="inlineStr">
        <is>
          <t>Yes</t>
        </is>
      </c>
      <c r="E105" s="9" t="inlineStr">
        <is>
          <t>Team 4</t>
        </is>
      </c>
      <c r="F105" s="10" t="n">
        <v>126.5</v>
      </c>
      <c r="G105" s="11" t="n">
        <v>46371</v>
      </c>
      <c r="H105" s="12">
        <f>IF(D105="Yes",F105/10,0)</f>
        <v/>
      </c>
      <c r="I105" s="9" t="inlineStr">
        <is>
          <t>Review due</t>
        </is>
      </c>
    </row>
    <row r="106" ht="14.25" customHeight="1">
      <c r="A106" s="5" t="inlineStr">
        <is>
          <t>Code checks 6</t>
        </is>
      </c>
      <c r="B106" s="6" t="inlineStr">
        <is>
          <t>N/A</t>
        </is>
      </c>
      <c r="C106" s="7" t="inlineStr">
        <is>
          <t>PaaS - content network</t>
        </is>
      </c>
      <c r="D106" s="8" t="inlineStr">
        <is>
          <t>No</t>
        </is>
      </c>
      <c r="E106" s="9" t="inlineStr">
        <is>
          <t>Team 5</t>
        </is>
      </c>
      <c r="F106" s="10" t="n">
        <v>163.75</v>
      </c>
      <c r="G106" s="11" t="n">
        <v>46382</v>
      </c>
      <c r="H106" s="12">
        <f>IF(D106="Yes",F106/10,0)</f>
        <v/>
      </c>
      <c r="I106" s="9" t="n"/>
    </row>
    <row r="107" ht="14.25" customHeight="1">
      <c r="A107" s="5" t="inlineStr">
        <is>
          <t>Ticket desk 6</t>
        </is>
      </c>
      <c r="B107" s="6" t="inlineStr">
        <is>
          <t>To confirm</t>
        </is>
      </c>
      <c r="C107" s="7" t="inlineStr">
        <is>
          <t>Self-hosted software - static analysis</t>
        </is>
      </c>
      <c r="D107" s="8" t="inlineStr">
        <is>
          <t>Yes</t>
        </is>
      </c>
      <c r="E107" s="9" t="inlineStr">
        <is>
          <t>Team 1</t>
        </is>
      </c>
      <c r="F107" s="10" t="n">
        <v>200</v>
      </c>
      <c r="G107" s="11" t="n">
        <v>46028</v>
      </c>
      <c r="H107" s="12">
        <f>IF(D107="Yes",F107/10,0)</f>
        <v/>
      </c>
      <c r="I107" s="9" t="n"/>
    </row>
    <row r="108" ht="14.25" customHeight="1">
      <c r="A108" s="5" t="inlineStr">
        <is>
          <t>Wiki 6</t>
        </is>
      </c>
      <c r="B108" s="6" t="inlineStr">
        <is>
          <t>N/A</t>
        </is>
      </c>
      <c r="C108" s="7" t="inlineStr">
        <is>
          <t>SaaS - source control</t>
        </is>
      </c>
      <c r="D108" s="8" t="inlineStr">
        <is>
          <t>Yes</t>
        </is>
      </c>
      <c r="E108" s="9" t="inlineStr">
        <is>
          <t>Team 2</t>
        </is>
      </c>
      <c r="F108" s="10" t="n">
        <v>237.25</v>
      </c>
      <c r="G108" s="11" t="n">
        <v>46039</v>
      </c>
      <c r="H108" s="12">
        <f>IF(D108="Yes",F108/10,0)</f>
        <v/>
      </c>
      <c r="I108" s="9" t="n"/>
    </row>
    <row r="109" ht="14.25" customHeight="1">
      <c r="A109" s="5" t="inlineStr">
        <is>
          <t>Chat 6</t>
        </is>
      </c>
      <c r="B109" s="6" t="inlineStr">
        <is>
          <t>N/A</t>
        </is>
      </c>
      <c r="C109" s="7" t="inlineStr">
        <is>
          <t>IaaS/PaaS - public cloud</t>
        </is>
      </c>
      <c r="D109" s="8" t="inlineStr">
        <is>
          <t>No</t>
        </is>
      </c>
      <c r="E109" s="9" t="inlineStr">
        <is>
          <t>Team 3</t>
        </is>
      </c>
      <c r="F109" s="10" t="n">
        <v>274.5</v>
      </c>
      <c r="G109" s="11" t="n">
        <v>46050</v>
      </c>
      <c r="H109" s="12">
        <f>IF(D109="Yes",F109/10,0)</f>
        <v/>
      </c>
      <c r="I109" s="9" t="n"/>
    </row>
    <row r="110" ht="14.25" customHeight="1">
      <c r="A110" s="5" t="inlineStr">
        <is>
          <t>File share 6</t>
        </is>
      </c>
      <c r="B110" s="6" t="inlineStr">
        <is>
          <t>N/A</t>
        </is>
      </c>
      <c r="C110" s="7" t="inlineStr">
        <is>
          <t>PaaS - customer identity</t>
        </is>
      </c>
      <c r="D110" s="8" t="inlineStr">
        <is>
          <t>Yes</t>
        </is>
      </c>
      <c r="E110" s="9" t="inlineStr">
        <is>
          <t>Team 4</t>
        </is>
      </c>
      <c r="F110" s="10" t="n">
        <v>311.75</v>
      </c>
      <c r="G110" s="11" t="n">
        <v>46061</v>
      </c>
      <c r="H110" s="12">
        <f>IF(D110="Yes",F110/10,0)</f>
        <v/>
      </c>
      <c r="I110" s="9" t="n"/>
    </row>
    <row r="111" ht="14.25" customHeight="1">
      <c r="A111" s="5" t="inlineStr">
        <is>
          <t>Backups 6</t>
        </is>
      </c>
      <c r="B111" s="6" t="inlineStr">
        <is>
          <t>To confirm</t>
        </is>
      </c>
      <c r="C111" s="7" t="inlineStr">
        <is>
          <t>PaaS - DNS hosting</t>
        </is>
      </c>
      <c r="D111" s="8" t="inlineStr">
        <is>
          <t>Yes</t>
        </is>
      </c>
      <c r="E111" s="9" t="inlineStr">
        <is>
          <t>Team 5</t>
        </is>
      </c>
      <c r="F111" s="10" t="n">
        <v>348</v>
      </c>
      <c r="G111" s="11" t="n">
        <v>46072</v>
      </c>
      <c r="H111" s="12">
        <f>IF(D111="Yes",F111/10,0)</f>
        <v/>
      </c>
      <c r="I111" s="9" t="n"/>
    </row>
    <row r="112" ht="14.25" customHeight="1">
      <c r="A112" s="5" t="inlineStr">
        <is>
          <t>Directory 7</t>
        </is>
      </c>
      <c r="B112" s="6" t="inlineStr">
        <is>
          <t>N/A</t>
        </is>
      </c>
      <c r="C112" s="7" t="inlineStr">
        <is>
          <t>PaaS - content network</t>
        </is>
      </c>
      <c r="D112" s="8" t="inlineStr">
        <is>
          <t>No</t>
        </is>
      </c>
      <c r="E112" s="9" t="inlineStr">
        <is>
          <t>Team 1</t>
        </is>
      </c>
      <c r="F112" s="10" t="n">
        <v>385.25</v>
      </c>
      <c r="G112" s="11" t="n">
        <v>46083</v>
      </c>
      <c r="H112" s="12">
        <f>IF(D112="Yes",F112/10,0)</f>
        <v/>
      </c>
      <c r="I112" s="9" t="inlineStr">
        <is>
          <t>Review due</t>
        </is>
      </c>
    </row>
    <row r="113" ht="14.25" customHeight="1">
      <c r="A113" s="5" t="inlineStr">
        <is>
          <t>Mail relay 7</t>
        </is>
      </c>
      <c r="B113" s="6" t="inlineStr">
        <is>
          <t>N/A</t>
        </is>
      </c>
      <c r="C113" s="7" t="inlineStr">
        <is>
          <t>Self-hosted software - static analysis</t>
        </is>
      </c>
      <c r="D113" s="8" t="inlineStr">
        <is>
          <t>Yes</t>
        </is>
      </c>
      <c r="E113" s="9" t="inlineStr">
        <is>
          <t>Team 2</t>
        </is>
      </c>
      <c r="F113" s="10" t="n">
        <v>422.5</v>
      </c>
      <c r="G113" s="11" t="n">
        <v>46094</v>
      </c>
      <c r="H113" s="12">
        <f>IF(D113="Yes",F113/10,0)</f>
        <v/>
      </c>
      <c r="I113" s="9" t="n"/>
    </row>
    <row r="114" ht="14.25" customHeight="1">
      <c r="A114" s="5" t="inlineStr">
        <is>
          <t>Name service 7</t>
        </is>
      </c>
      <c r="B114" s="6" t="inlineStr">
        <is>
          <t>N/A</t>
        </is>
      </c>
      <c r="C114" s="7" t="inlineStr">
        <is>
          <t>SaaS - source control</t>
        </is>
      </c>
      <c r="D114" s="8" t="inlineStr">
        <is>
          <t>Yes</t>
        </is>
      </c>
      <c r="E114" s="9" t="inlineStr">
        <is>
          <t>Team 3</t>
        </is>
      </c>
      <c r="F114" s="10" t="n">
        <v>459.75</v>
      </c>
      <c r="G114" s="11" t="n">
        <v>46105</v>
      </c>
      <c r="H114" s="12">
        <f>IF(D114="Yes",F114/10,0)</f>
        <v/>
      </c>
      <c r="I114" s="9" t="n"/>
    </row>
    <row r="115" ht="14.25" customHeight="1">
      <c r="A115" s="5" t="inlineStr">
        <is>
          <t>Content network 7</t>
        </is>
      </c>
      <c r="B115" s="6" t="inlineStr">
        <is>
          <t>To confirm</t>
        </is>
      </c>
      <c r="C115" s="7" t="inlineStr">
        <is>
          <t>IaaS/PaaS - public cloud</t>
        </is>
      </c>
      <c r="D115" s="8" t="inlineStr">
        <is>
          <t>No</t>
        </is>
      </c>
      <c r="E115" s="9" t="inlineStr">
        <is>
          <t>Team 4</t>
        </is>
      </c>
      <c r="F115" s="10" t="n">
        <v>496</v>
      </c>
      <c r="G115" s="11" t="n">
        <v>46116</v>
      </c>
      <c r="H115" s="12">
        <f>IF(D115="Yes",F115/10,0)</f>
        <v/>
      </c>
      <c r="I115" s="9" t="n"/>
    </row>
    <row r="116" ht="14.25" customHeight="1">
      <c r="A116" s="5" t="inlineStr">
        <is>
          <t>Firewall 7</t>
        </is>
      </c>
      <c r="B116" s="6" t="inlineStr">
        <is>
          <t>N/A</t>
        </is>
      </c>
      <c r="C116" s="7" t="inlineStr">
        <is>
          <t>PaaS - customer identity</t>
        </is>
      </c>
      <c r="D116" s="8" t="inlineStr">
        <is>
          <t>Yes</t>
        </is>
      </c>
      <c r="E116" s="9" t="inlineStr">
        <is>
          <t>Team 5</t>
        </is>
      </c>
      <c r="F116" s="10" t="n">
        <v>533.25</v>
      </c>
      <c r="G116" s="11" t="n">
        <v>46127</v>
      </c>
      <c r="H116" s="12">
        <f>IF(D116="Yes",F116/10,0)</f>
        <v/>
      </c>
      <c r="I116" s="9" t="n"/>
    </row>
    <row r="117" ht="14.25" customHeight="1">
      <c r="A117" s="5" t="inlineStr">
        <is>
          <t>Edge cache 7</t>
        </is>
      </c>
      <c r="B117" s="6" t="inlineStr">
        <is>
          <t>N/A</t>
        </is>
      </c>
      <c r="C117" s="7" t="inlineStr">
        <is>
          <t>PaaS - DNS hosting</t>
        </is>
      </c>
      <c r="D117" s="8" t="inlineStr">
        <is>
          <t>Yes</t>
        </is>
      </c>
      <c r="E117" s="9" t="inlineStr">
        <is>
          <t>Team 1</t>
        </is>
      </c>
      <c r="F117" s="10" t="n">
        <v>570.5</v>
      </c>
      <c r="G117" s="11" t="n">
        <v>46138</v>
      </c>
      <c r="H117" s="12">
        <f>IF(D117="Yes",F117/10,0)</f>
        <v/>
      </c>
      <c r="I117" s="9" t="n"/>
    </row>
    <row r="118" ht="14.25" customHeight="1">
      <c r="A118" s="5" t="inlineStr">
        <is>
          <t>Build service 7</t>
        </is>
      </c>
      <c r="B118" s="6" t="inlineStr">
        <is>
          <t>N/A</t>
        </is>
      </c>
      <c r="C118" s="7" t="inlineStr">
        <is>
          <t>PaaS - content network</t>
        </is>
      </c>
      <c r="D118" s="8" t="inlineStr">
        <is>
          <t>No</t>
        </is>
      </c>
      <c r="E118" s="9" t="inlineStr">
        <is>
          <t>Team 2</t>
        </is>
      </c>
      <c r="F118" s="10" t="n">
        <v>607.75</v>
      </c>
      <c r="G118" s="11" t="n">
        <v>46149</v>
      </c>
      <c r="H118" s="12">
        <f>IF(D118="Yes",F118/10,0)</f>
        <v/>
      </c>
      <c r="I118" s="9" t="n"/>
    </row>
    <row r="119" ht="14.25" customHeight="1">
      <c r="A119" s="5" t="inlineStr">
        <is>
          <t>Code host 7</t>
        </is>
      </c>
      <c r="B119" s="6" t="inlineStr">
        <is>
          <t>To confirm</t>
        </is>
      </c>
      <c r="C119" s="7" t="inlineStr">
        <is>
          <t>Self-hosted software - static analysis</t>
        </is>
      </c>
      <c r="D119" s="8" t="inlineStr">
        <is>
          <t>Yes</t>
        </is>
      </c>
      <c r="E119" s="9" t="inlineStr">
        <is>
          <t>Team 3</t>
        </is>
      </c>
      <c r="F119" s="10" t="n">
        <v>644</v>
      </c>
      <c r="G119" s="11" t="n">
        <v>46160</v>
      </c>
      <c r="H119" s="12">
        <f>IF(D119="Yes",F119/10,0)</f>
        <v/>
      </c>
      <c r="I119" s="9" t="inlineStr">
        <is>
          <t>Review due</t>
        </is>
      </c>
    </row>
    <row r="120" ht="14.25" customHeight="1">
      <c r="A120" s="5" t="inlineStr">
        <is>
          <t>Code assistant 7</t>
        </is>
      </c>
      <c r="B120" s="6" t="inlineStr">
        <is>
          <t>N/A</t>
        </is>
      </c>
      <c r="C120" s="7" t="inlineStr">
        <is>
          <t>SaaS - source control</t>
        </is>
      </c>
      <c r="D120" s="8" t="inlineStr">
        <is>
          <t>Yes</t>
        </is>
      </c>
      <c r="E120" s="9" t="inlineStr">
        <is>
          <t>Team 4</t>
        </is>
      </c>
      <c r="F120" s="10" t="n">
        <v>681.25</v>
      </c>
      <c r="G120" s="11" t="n">
        <v>46171</v>
      </c>
      <c r="H120" s="12">
        <f>IF(D120="Yes",F120/10,0)</f>
        <v/>
      </c>
      <c r="I120" s="9" t="n"/>
    </row>
    <row r="121" ht="14.25" customHeight="1">
      <c r="A121" s="5" t="inlineStr">
        <is>
          <t>Code checks 7</t>
        </is>
      </c>
      <c r="B121" s="6" t="inlineStr">
        <is>
          <t>N/A</t>
        </is>
      </c>
      <c r="C121" s="7" t="inlineStr">
        <is>
          <t>IaaS/PaaS - public cloud</t>
        </is>
      </c>
      <c r="D121" s="8" t="inlineStr">
        <is>
          <t>No</t>
        </is>
      </c>
      <c r="E121" s="9" t="inlineStr">
        <is>
          <t>Team 5</t>
        </is>
      </c>
      <c r="F121" s="10" t="n">
        <v>718.5</v>
      </c>
      <c r="G121" s="11" t="n">
        <v>46182</v>
      </c>
      <c r="H121" s="12">
        <f>IF(D121="Yes",F121/10,0)</f>
        <v/>
      </c>
      <c r="I121" s="9" t="n"/>
    </row>
    <row r="122" ht="14.25" customHeight="1">
      <c r="A122" s="5" t="inlineStr">
        <is>
          <t>Ticket desk 7</t>
        </is>
      </c>
      <c r="B122" s="6" t="inlineStr">
        <is>
          <t>N/A</t>
        </is>
      </c>
      <c r="C122" s="7" t="inlineStr">
        <is>
          <t>PaaS - customer identity</t>
        </is>
      </c>
      <c r="D122" s="8" t="inlineStr">
        <is>
          <t>Yes</t>
        </is>
      </c>
      <c r="E122" s="9" t="inlineStr">
        <is>
          <t>Team 1</t>
        </is>
      </c>
      <c r="F122" s="10" t="n">
        <v>755.75</v>
      </c>
      <c r="G122" s="11" t="n">
        <v>46193</v>
      </c>
      <c r="H122" s="12">
        <f>IF(D122="Yes",F122/10,0)</f>
        <v/>
      </c>
      <c r="I122" s="9" t="n"/>
    </row>
    <row r="123" ht="14.25" customHeight="1">
      <c r="A123" s="5" t="inlineStr">
        <is>
          <t>Wiki 7</t>
        </is>
      </c>
      <c r="B123" s="6" t="inlineStr">
        <is>
          <t>To confirm</t>
        </is>
      </c>
      <c r="C123" s="7" t="inlineStr">
        <is>
          <t>PaaS - DNS hosting</t>
        </is>
      </c>
      <c r="D123" s="8" t="inlineStr">
        <is>
          <t>Yes</t>
        </is>
      </c>
      <c r="E123" s="9" t="inlineStr">
        <is>
          <t>Team 2</t>
        </is>
      </c>
      <c r="F123" s="10" t="n">
        <v>792</v>
      </c>
      <c r="G123" s="11" t="n">
        <v>46204</v>
      </c>
      <c r="H123" s="12">
        <f>IF(D123="Yes",F123/10,0)</f>
        <v/>
      </c>
      <c r="I123" s="9" t="n"/>
    </row>
    <row r="124" ht="14.25" customHeight="1">
      <c r="A124" s="5" t="inlineStr">
        <is>
          <t>Chat 7</t>
        </is>
      </c>
      <c r="B124" s="6" t="inlineStr">
        <is>
          <t>N/A</t>
        </is>
      </c>
      <c r="C124" s="7" t="inlineStr">
        <is>
          <t>PaaS - content network</t>
        </is>
      </c>
      <c r="D124" s="8" t="inlineStr">
        <is>
          <t>No</t>
        </is>
      </c>
      <c r="E124" s="9" t="inlineStr">
        <is>
          <t>Team 3</t>
        </is>
      </c>
      <c r="F124" s="10" t="n">
        <v>829.25</v>
      </c>
      <c r="G124" s="11" t="n">
        <v>46215</v>
      </c>
      <c r="H124" s="12">
        <f>IF(D124="Yes",F124/10,0)</f>
        <v/>
      </c>
      <c r="I124" s="9" t="n"/>
    </row>
    <row r="125" ht="14.25" customHeight="1">
      <c r="A125" s="5" t="inlineStr">
        <is>
          <t>File share 7</t>
        </is>
      </c>
      <c r="B125" s="6" t="inlineStr">
        <is>
          <t>N/A</t>
        </is>
      </c>
      <c r="C125" s="7" t="inlineStr">
        <is>
          <t>Self-hosted software - static analysis</t>
        </is>
      </c>
      <c r="D125" s="8" t="inlineStr">
        <is>
          <t>Yes</t>
        </is>
      </c>
      <c r="E125" s="9" t="inlineStr">
        <is>
          <t>Team 4</t>
        </is>
      </c>
      <c r="F125" s="10" t="n">
        <v>866.5</v>
      </c>
      <c r="G125" s="11" t="n">
        <v>46226</v>
      </c>
      <c r="H125" s="12">
        <f>IF(D125="Yes",F125/10,0)</f>
        <v/>
      </c>
      <c r="I125" s="9" t="n"/>
    </row>
    <row r="126" ht="14.25" customHeight="1">
      <c r="A126" s="5" t="inlineStr">
        <is>
          <t>Backups 7</t>
        </is>
      </c>
      <c r="B126" s="6" t="inlineStr">
        <is>
          <t>N/A</t>
        </is>
      </c>
      <c r="C126" s="7" t="inlineStr">
        <is>
          <t>SaaS - source control</t>
        </is>
      </c>
      <c r="D126" s="8" t="inlineStr">
        <is>
          <t>Yes</t>
        </is>
      </c>
      <c r="E126" s="9" t="inlineStr">
        <is>
          <t>Team 5</t>
        </is>
      </c>
      <c r="F126" s="10" t="n">
        <v>903.75</v>
      </c>
      <c r="G126" s="11" t="n">
        <v>46237</v>
      </c>
      <c r="H126" s="12">
        <f>IF(D126="Yes",F126/10,0)</f>
        <v/>
      </c>
      <c r="I126" s="9" t="inlineStr">
        <is>
          <t>Review due</t>
        </is>
      </c>
    </row>
    <row r="127" ht="14.25" customHeight="1">
      <c r="A127" s="5" t="inlineStr">
        <is>
          <t>Directory 8</t>
        </is>
      </c>
      <c r="B127" s="6" t="inlineStr">
        <is>
          <t>To confirm</t>
        </is>
      </c>
      <c r="C127" s="7" t="inlineStr">
        <is>
          <t>IaaS/PaaS - public cloud</t>
        </is>
      </c>
      <c r="D127" s="8" t="inlineStr">
        <is>
          <t>No</t>
        </is>
      </c>
      <c r="E127" s="9" t="inlineStr">
        <is>
          <t>Team 1</t>
        </is>
      </c>
      <c r="F127" s="10" t="n">
        <v>940</v>
      </c>
      <c r="G127" s="11" t="n">
        <v>46248</v>
      </c>
      <c r="H127" s="12">
        <f>IF(D127="Yes",F127/10,0)</f>
        <v/>
      </c>
      <c r="I127" s="9" t="n"/>
    </row>
    <row r="128" ht="14.25" customHeight="1">
      <c r="A128" s="5" t="inlineStr">
        <is>
          <t>Mail relay 8</t>
        </is>
      </c>
      <c r="B128" s="6" t="inlineStr">
        <is>
          <t>N/A</t>
        </is>
      </c>
      <c r="C128" s="7" t="inlineStr">
        <is>
          <t>PaaS - customer identity</t>
        </is>
      </c>
      <c r="D128" s="8" t="inlineStr">
        <is>
          <t>Yes</t>
        </is>
      </c>
      <c r="E128" s="9" t="inlineStr">
        <is>
          <t>Team 2</t>
        </is>
      </c>
      <c r="F128" s="10" t="n">
        <v>977.25</v>
      </c>
      <c r="G128" s="11" t="n">
        <v>46259</v>
      </c>
      <c r="H128" s="12">
        <f>IF(D128="Yes",F128/10,0)</f>
        <v/>
      </c>
      <c r="I128" s="9" t="n"/>
    </row>
    <row r="129" ht="14.25" customHeight="1">
      <c r="A129" s="5" t="inlineStr">
        <is>
          <t>Name service 8</t>
        </is>
      </c>
      <c r="B129" s="6" t="inlineStr">
        <is>
          <t>N/A</t>
        </is>
      </c>
      <c r="C129" s="7" t="inlineStr">
        <is>
          <t>PaaS - DNS hosting</t>
        </is>
      </c>
      <c r="D129" s="8" t="inlineStr">
        <is>
          <t>Yes</t>
        </is>
      </c>
      <c r="E129" s="9" t="inlineStr">
        <is>
          <t>Team 3</t>
        </is>
      </c>
      <c r="F129" s="10" t="n">
        <v>114.5</v>
      </c>
      <c r="G129" s="11" t="n">
        <v>46270</v>
      </c>
      <c r="H129" s="12">
        <f>IF(D129="Yes",F129/10,0)</f>
        <v/>
      </c>
      <c r="I129" s="9" t="n"/>
    </row>
    <row r="130" ht="14.25" customHeight="1">
      <c r="A130" s="5" t="inlineStr">
        <is>
          <t>Content network 8</t>
        </is>
      </c>
      <c r="B130" s="6" t="inlineStr">
        <is>
          <t>N/A</t>
        </is>
      </c>
      <c r="C130" s="7" t="inlineStr">
        <is>
          <t>PaaS - content network</t>
        </is>
      </c>
      <c r="D130" s="8" t="inlineStr">
        <is>
          <t>No</t>
        </is>
      </c>
      <c r="E130" s="9" t="inlineStr">
        <is>
          <t>Team 4</t>
        </is>
      </c>
      <c r="F130" s="10" t="n">
        <v>151.75</v>
      </c>
      <c r="G130" s="11" t="n">
        <v>46281</v>
      </c>
      <c r="H130" s="12">
        <f>IF(D130="Yes",F130/10,0)</f>
        <v/>
      </c>
      <c r="I130" s="9" t="n"/>
    </row>
    <row r="131" ht="14.25" customHeight="1">
      <c r="A131" s="5" t="inlineStr">
        <is>
          <t>Firewall 8</t>
        </is>
      </c>
      <c r="B131" s="6" t="inlineStr">
        <is>
          <t>To confirm</t>
        </is>
      </c>
      <c r="C131" s="7" t="inlineStr">
        <is>
          <t>Self-hosted software - static analysis</t>
        </is>
      </c>
      <c r="D131" s="8" t="inlineStr">
        <is>
          <t>Yes</t>
        </is>
      </c>
      <c r="E131" s="9" t="inlineStr">
        <is>
          <t>Team 5</t>
        </is>
      </c>
      <c r="F131" s="10" t="n">
        <v>188</v>
      </c>
      <c r="G131" s="11" t="n">
        <v>46292</v>
      </c>
      <c r="H131" s="12">
        <f>IF(D131="Yes",F131/10,0)</f>
        <v/>
      </c>
      <c r="I131" s="9" t="n"/>
    </row>
    <row r="132" ht="14.25" customHeight="1">
      <c r="A132" s="5" t="inlineStr">
        <is>
          <t>Edge cache 8</t>
        </is>
      </c>
      <c r="B132" s="6" t="inlineStr">
        <is>
          <t>N/A</t>
        </is>
      </c>
      <c r="C132" s="7" t="inlineStr">
        <is>
          <t>SaaS - source control</t>
        </is>
      </c>
      <c r="D132" s="8" t="inlineStr">
        <is>
          <t>Yes</t>
        </is>
      </c>
      <c r="E132" s="9" t="inlineStr">
        <is>
          <t>Team 1</t>
        </is>
      </c>
      <c r="F132" s="10" t="n">
        <v>225.25</v>
      </c>
      <c r="G132" s="11" t="n">
        <v>46303</v>
      </c>
      <c r="H132" s="12">
        <f>IF(D132="Yes",F132/10,0)</f>
        <v/>
      </c>
      <c r="I132" s="9" t="n"/>
    </row>
    <row r="133" ht="14.25" customHeight="1">
      <c r="A133" s="5" t="inlineStr">
        <is>
          <t>Build service 8</t>
        </is>
      </c>
      <c r="B133" s="6" t="inlineStr">
        <is>
          <t>N/A</t>
        </is>
      </c>
      <c r="C133" s="7" t="inlineStr">
        <is>
          <t>IaaS/PaaS - public cloud</t>
        </is>
      </c>
      <c r="D133" s="8" t="inlineStr">
        <is>
          <t>No</t>
        </is>
      </c>
      <c r="E133" s="9" t="inlineStr">
        <is>
          <t>Team 2</t>
        </is>
      </c>
      <c r="F133" s="10" t="n">
        <v>262.5</v>
      </c>
      <c r="G133" s="11" t="n">
        <v>46314</v>
      </c>
      <c r="H133" s="12">
        <f>IF(D133="Yes",F133/10,0)</f>
        <v/>
      </c>
      <c r="I133" s="9" t="inlineStr">
        <is>
          <t>Review due</t>
        </is>
      </c>
    </row>
    <row r="134" ht="14.25" customHeight="1">
      <c r="A134" s="5" t="inlineStr">
        <is>
          <t>Code host 8</t>
        </is>
      </c>
      <c r="B134" s="6" t="inlineStr">
        <is>
          <t>N/A</t>
        </is>
      </c>
      <c r="C134" s="7" t="inlineStr">
        <is>
          <t>PaaS - customer identity</t>
        </is>
      </c>
      <c r="D134" s="8" t="inlineStr">
        <is>
          <t>Yes</t>
        </is>
      </c>
      <c r="E134" s="9" t="inlineStr">
        <is>
          <t>Team 3</t>
        </is>
      </c>
      <c r="F134" s="10" t="n">
        <v>299.75</v>
      </c>
      <c r="G134" s="11" t="n">
        <v>46325</v>
      </c>
      <c r="H134" s="12">
        <f>IF(D134="Yes",F134/10,0)</f>
        <v/>
      </c>
      <c r="I134" s="9" t="n"/>
    </row>
    <row r="135" ht="14.25" customHeight="1">
      <c r="A135" s="5" t="inlineStr">
        <is>
          <t>Code assistant 8</t>
        </is>
      </c>
      <c r="B135" s="6" t="inlineStr">
        <is>
          <t>To confirm</t>
        </is>
      </c>
      <c r="C135" s="7" t="inlineStr">
        <is>
          <t>PaaS - DNS hosting</t>
        </is>
      </c>
      <c r="D135" s="8" t="inlineStr">
        <is>
          <t>Yes</t>
        </is>
      </c>
      <c r="E135" s="9" t="inlineStr">
        <is>
          <t>Team 4</t>
        </is>
      </c>
      <c r="F135" s="10" t="n">
        <v>336</v>
      </c>
      <c r="G135" s="11" t="n">
        <v>46336</v>
      </c>
      <c r="H135" s="12">
        <f>IF(D135="Yes",F135/10,0)</f>
        <v/>
      </c>
      <c r="I135" s="9" t="n"/>
    </row>
    <row r="136" ht="14.25" customHeight="1">
      <c r="A136" s="5" t="inlineStr">
        <is>
          <t>Code checks 8</t>
        </is>
      </c>
      <c r="B136" s="6" t="inlineStr">
        <is>
          <t>N/A</t>
        </is>
      </c>
      <c r="C136" s="7" t="inlineStr">
        <is>
          <t>PaaS - content network</t>
        </is>
      </c>
      <c r="D136" s="8" t="inlineStr">
        <is>
          <t>No</t>
        </is>
      </c>
      <c r="E136" s="9" t="inlineStr">
        <is>
          <t>Team 5</t>
        </is>
      </c>
      <c r="F136" s="10" t="n">
        <v>373.25</v>
      </c>
      <c r="G136" s="11" t="n">
        <v>46347</v>
      </c>
      <c r="H136" s="12">
        <f>IF(D136="Yes",F136/10,0)</f>
        <v/>
      </c>
      <c r="I136" s="9" t="n"/>
    </row>
    <row r="137" ht="14.25" customHeight="1">
      <c r="A137" s="5" t="inlineStr">
        <is>
          <t>Ticket desk 8</t>
        </is>
      </c>
      <c r="B137" s="6" t="inlineStr">
        <is>
          <t>N/A</t>
        </is>
      </c>
      <c r="C137" s="7" t="inlineStr">
        <is>
          <t>Self-hosted software - static analysis</t>
        </is>
      </c>
      <c r="D137" s="8" t="inlineStr">
        <is>
          <t>Yes</t>
        </is>
      </c>
      <c r="E137" s="9" t="inlineStr">
        <is>
          <t>Team 1</t>
        </is>
      </c>
      <c r="F137" s="10" t="n">
        <v>410.5</v>
      </c>
      <c r="G137" s="11" t="n">
        <v>46358</v>
      </c>
      <c r="H137" s="12">
        <f>IF(D137="Yes",F137/10,0)</f>
        <v/>
      </c>
      <c r="I137" s="9" t="n"/>
    </row>
    <row r="138" ht="14.25" customHeight="1">
      <c r="A138" s="5" t="inlineStr">
        <is>
          <t>Wiki 8</t>
        </is>
      </c>
      <c r="B138" s="6" t="inlineStr">
        <is>
          <t>N/A</t>
        </is>
      </c>
      <c r="C138" s="7" t="inlineStr">
        <is>
          <t>SaaS - source control</t>
        </is>
      </c>
      <c r="D138" s="8" t="inlineStr">
        <is>
          <t>Yes</t>
        </is>
      </c>
      <c r="E138" s="9" t="inlineStr">
        <is>
          <t>Team 2</t>
        </is>
      </c>
      <c r="F138" s="10" t="n">
        <v>447.75</v>
      </c>
      <c r="G138" s="11" t="n">
        <v>46369</v>
      </c>
      <c r="H138" s="12">
        <f>IF(D138="Yes",F138/10,0)</f>
        <v/>
      </c>
      <c r="I138" s="9" t="n"/>
    </row>
    <row r="139" ht="14.25" customHeight="1">
      <c r="A139" s="5" t="inlineStr">
        <is>
          <t>Chat 8</t>
        </is>
      </c>
      <c r="B139" s="6" t="inlineStr">
        <is>
          <t>To confirm</t>
        </is>
      </c>
      <c r="C139" s="7" t="inlineStr">
        <is>
          <t>IaaS/PaaS - public cloud</t>
        </is>
      </c>
      <c r="D139" s="8" t="inlineStr">
        <is>
          <t>No</t>
        </is>
      </c>
      <c r="E139" s="9" t="inlineStr">
        <is>
          <t>Team 3</t>
        </is>
      </c>
      <c r="F139" s="10" t="n">
        <v>484</v>
      </c>
      <c r="G139" s="11" t="n">
        <v>46380</v>
      </c>
      <c r="H139" s="12">
        <f>IF(D139="Yes",F139/10,0)</f>
        <v/>
      </c>
      <c r="I139" s="9" t="n"/>
    </row>
    <row r="140" ht="14.25" customHeight="1">
      <c r="A140" s="5" t="inlineStr">
        <is>
          <t>File share 8</t>
        </is>
      </c>
      <c r="B140" s="6" t="inlineStr">
        <is>
          <t>N/A</t>
        </is>
      </c>
      <c r="C140" s="7" t="inlineStr">
        <is>
          <t>PaaS - customer identity</t>
        </is>
      </c>
      <c r="D140" s="8" t="inlineStr">
        <is>
          <t>Yes</t>
        </is>
      </c>
      <c r="E140" s="9" t="inlineStr">
        <is>
          <t>Team 4</t>
        </is>
      </c>
      <c r="F140" s="10" t="n">
        <v>521.25</v>
      </c>
      <c r="G140" s="11" t="n">
        <v>46026</v>
      </c>
      <c r="H140" s="12">
        <f>IF(D140="Yes",F140/10,0)</f>
        <v/>
      </c>
      <c r="I140" s="9" t="inlineStr">
        <is>
          <t>Review due</t>
        </is>
      </c>
    </row>
    <row r="141" ht="14.25" customHeight="1">
      <c r="A141" s="5" t="inlineStr">
        <is>
          <t>Backups 8</t>
        </is>
      </c>
      <c r="B141" s="6" t="inlineStr">
        <is>
          <t>N/A</t>
        </is>
      </c>
      <c r="C141" s="7" t="inlineStr">
        <is>
          <t>PaaS - DNS hosting</t>
        </is>
      </c>
      <c r="D141" s="8" t="inlineStr">
        <is>
          <t>Yes</t>
        </is>
      </c>
      <c r="E141" s="9" t="inlineStr">
        <is>
          <t>Team 5</t>
        </is>
      </c>
      <c r="F141" s="10" t="n">
        <v>558.5</v>
      </c>
      <c r="G141" s="11" t="n">
        <v>46037</v>
      </c>
      <c r="H141" s="12">
        <f>IF(D141="Yes",F141/10,0)</f>
        <v/>
      </c>
      <c r="I141" s="9" t="n"/>
    </row>
    <row r="142" ht="14.25" customHeight="1">
      <c r="A142" s="5" t="inlineStr">
        <is>
          <t>Directory 9</t>
        </is>
      </c>
      <c r="B142" s="6" t="inlineStr">
        <is>
          <t>N/A</t>
        </is>
      </c>
      <c r="C142" s="7" t="inlineStr">
        <is>
          <t>PaaS - content network</t>
        </is>
      </c>
      <c r="D142" s="8" t="inlineStr">
        <is>
          <t>No</t>
        </is>
      </c>
      <c r="E142" s="9" t="inlineStr">
        <is>
          <t>Team 1</t>
        </is>
      </c>
      <c r="F142" s="10" t="n">
        <v>595.75</v>
      </c>
      <c r="G142" s="11" t="n">
        <v>46048</v>
      </c>
      <c r="H142" s="12">
        <f>IF(D142="Yes",F142/10,0)</f>
        <v/>
      </c>
      <c r="I142" s="9" t="n"/>
    </row>
    <row r="143" ht="14.25" customHeight="1">
      <c r="A143" s="5" t="inlineStr">
        <is>
          <t>Mail relay 9</t>
        </is>
      </c>
      <c r="B143" s="6" t="inlineStr">
        <is>
          <t>To confirm</t>
        </is>
      </c>
      <c r="C143" s="7" t="inlineStr">
        <is>
          <t>Self-hosted software - static analysis</t>
        </is>
      </c>
      <c r="D143" s="8" t="inlineStr">
        <is>
          <t>Yes</t>
        </is>
      </c>
      <c r="E143" s="9" t="inlineStr">
        <is>
          <t>Team 2</t>
        </is>
      </c>
      <c r="F143" s="10" t="n">
        <v>632</v>
      </c>
      <c r="G143" s="11" t="n">
        <v>46059</v>
      </c>
      <c r="H143" s="12">
        <f>IF(D143="Yes",F143/10,0)</f>
        <v/>
      </c>
      <c r="I143" s="9" t="n"/>
    </row>
    <row r="144" ht="14.25" customHeight="1">
      <c r="A144" s="5" t="inlineStr">
        <is>
          <t>Name service 9</t>
        </is>
      </c>
      <c r="B144" s="6" t="inlineStr">
        <is>
          <t>N/A</t>
        </is>
      </c>
      <c r="C144" s="7" t="inlineStr">
        <is>
          <t>SaaS - source control</t>
        </is>
      </c>
      <c r="D144" s="8" t="inlineStr">
        <is>
          <t>Yes</t>
        </is>
      </c>
      <c r="E144" s="9" t="inlineStr">
        <is>
          <t>Team 3</t>
        </is>
      </c>
      <c r="F144" s="10" t="n">
        <v>669.25</v>
      </c>
      <c r="G144" s="11" t="n">
        <v>46070</v>
      </c>
      <c r="H144" s="12">
        <f>IF(D144="Yes",F144/10,0)</f>
        <v/>
      </c>
      <c r="I144" s="9" t="n"/>
    </row>
    <row r="145" ht="14.25" customHeight="1">
      <c r="A145" s="5" t="inlineStr">
        <is>
          <t>Content network 9</t>
        </is>
      </c>
      <c r="B145" s="6" t="inlineStr">
        <is>
          <t>N/A</t>
        </is>
      </c>
      <c r="C145" s="7" t="inlineStr">
        <is>
          <t>IaaS/PaaS - public cloud</t>
        </is>
      </c>
      <c r="D145" s="8" t="inlineStr">
        <is>
          <t>No</t>
        </is>
      </c>
      <c r="E145" s="9" t="inlineStr">
        <is>
          <t>Team 4</t>
        </is>
      </c>
      <c r="F145" s="10" t="n">
        <v>706.5</v>
      </c>
      <c r="G145" s="11" t="n">
        <v>46081</v>
      </c>
      <c r="H145" s="12">
        <f>IF(D145="Yes",F145/10,0)</f>
        <v/>
      </c>
      <c r="I145" s="9" t="n"/>
    </row>
    <row r="146" ht="14.25" customHeight="1">
      <c r="A146" s="5" t="inlineStr">
        <is>
          <t>Firewall 9</t>
        </is>
      </c>
      <c r="B146" s="6" t="inlineStr">
        <is>
          <t>N/A</t>
        </is>
      </c>
      <c r="C146" s="7" t="inlineStr">
        <is>
          <t>PaaS - customer identity</t>
        </is>
      </c>
      <c r="D146" s="8" t="inlineStr">
        <is>
          <t>Yes</t>
        </is>
      </c>
      <c r="E146" s="9" t="inlineStr">
        <is>
          <t>Team 5</t>
        </is>
      </c>
      <c r="F146" s="10" t="n">
        <v>743.75</v>
      </c>
      <c r="G146" s="11" t="n">
        <v>46092</v>
      </c>
      <c r="H146" s="12">
        <f>IF(D146="Yes",F146/10,0)</f>
        <v/>
      </c>
      <c r="I146" s="9" t="n"/>
    </row>
    <row r="147" ht="14.25" customHeight="1">
      <c r="A147" s="5" t="inlineStr">
        <is>
          <t>Edge cache 9</t>
        </is>
      </c>
      <c r="B147" s="6" t="inlineStr">
        <is>
          <t>To confirm</t>
        </is>
      </c>
      <c r="C147" s="7" t="inlineStr">
        <is>
          <t>PaaS - DNS hosting</t>
        </is>
      </c>
      <c r="D147" s="8" t="inlineStr">
        <is>
          <t>Yes</t>
        </is>
      </c>
      <c r="E147" s="9" t="inlineStr">
        <is>
          <t>Team 1</t>
        </is>
      </c>
      <c r="F147" s="10" t="n">
        <v>780</v>
      </c>
      <c r="G147" s="11" t="n">
        <v>46103</v>
      </c>
      <c r="H147" s="12">
        <f>IF(D147="Yes",F147/10,0)</f>
        <v/>
      </c>
      <c r="I147" s="9" t="inlineStr">
        <is>
          <t>Review due</t>
        </is>
      </c>
    </row>
    <row r="148" ht="14.25" customHeight="1">
      <c r="A148" s="5" t="inlineStr">
        <is>
          <t>Build service 9</t>
        </is>
      </c>
      <c r="B148" s="6" t="inlineStr">
        <is>
          <t>N/A</t>
        </is>
      </c>
      <c r="C148" s="7" t="inlineStr">
        <is>
          <t>PaaS - content network</t>
        </is>
      </c>
      <c r="D148" s="8" t="inlineStr">
        <is>
          <t>No</t>
        </is>
      </c>
      <c r="E148" s="9" t="inlineStr">
        <is>
          <t>Team 2</t>
        </is>
      </c>
      <c r="F148" s="10" t="n">
        <v>817.25</v>
      </c>
      <c r="G148" s="11" t="n">
        <v>46114</v>
      </c>
      <c r="H148" s="12">
        <f>IF(D148="Yes",F148/10,0)</f>
        <v/>
      </c>
      <c r="I148" s="9" t="n"/>
    </row>
    <row r="149" ht="14.25" customHeight="1">
      <c r="A149" s="5" t="inlineStr">
        <is>
          <t>Code host 9</t>
        </is>
      </c>
      <c r="B149" s="6" t="inlineStr">
        <is>
          <t>N/A</t>
        </is>
      </c>
      <c r="C149" s="7" t="inlineStr">
        <is>
          <t>Self-hosted software - static analysis</t>
        </is>
      </c>
      <c r="D149" s="8" t="inlineStr">
        <is>
          <t>Yes</t>
        </is>
      </c>
      <c r="E149" s="9" t="inlineStr">
        <is>
          <t>Team 3</t>
        </is>
      </c>
      <c r="F149" s="10" t="n">
        <v>854.5</v>
      </c>
      <c r="G149" s="11" t="n">
        <v>46125</v>
      </c>
      <c r="H149" s="12">
        <f>IF(D149="Yes",F149/10,0)</f>
        <v/>
      </c>
      <c r="I149" s="9" t="n"/>
    </row>
    <row r="150" ht="14.25" customHeight="1">
      <c r="A150" s="5" t="inlineStr">
        <is>
          <t>Code assistant 9</t>
        </is>
      </c>
      <c r="B150" s="6" t="inlineStr">
        <is>
          <t>N/A</t>
        </is>
      </c>
      <c r="C150" s="7" t="inlineStr">
        <is>
          <t>SaaS - source control</t>
        </is>
      </c>
      <c r="D150" s="8" t="inlineStr">
        <is>
          <t>Yes</t>
        </is>
      </c>
      <c r="E150" s="9" t="inlineStr">
        <is>
          <t>Team 4</t>
        </is>
      </c>
      <c r="F150" s="10" t="n">
        <v>891.75</v>
      </c>
      <c r="G150" s="11" t="n">
        <v>46136</v>
      </c>
      <c r="H150" s="12">
        <f>IF(D150="Yes",F150/10,0)</f>
        <v/>
      </c>
      <c r="I150" s="9" t="n"/>
    </row>
    <row r="151" ht="14.25" customHeight="1">
      <c r="A151" s="5" t="inlineStr">
        <is>
          <t>Code checks 9</t>
        </is>
      </c>
      <c r="B151" s="6" t="inlineStr">
        <is>
          <t>To confirm</t>
        </is>
      </c>
      <c r="C151" s="7" t="inlineStr">
        <is>
          <t>IaaS/PaaS - public cloud</t>
        </is>
      </c>
      <c r="D151" s="8" t="inlineStr">
        <is>
          <t>No</t>
        </is>
      </c>
      <c r="E151" s="9" t="inlineStr">
        <is>
          <t>Team 5</t>
        </is>
      </c>
      <c r="F151" s="10" t="n">
        <v>928</v>
      </c>
      <c r="G151" s="11" t="n">
        <v>46147</v>
      </c>
      <c r="H151" s="12">
        <f>IF(D151="Yes",F151/10,0)</f>
        <v/>
      </c>
      <c r="I151" s="9" t="n"/>
    </row>
    <row r="152" ht="14.25" customHeight="1">
      <c r="A152" s="5" t="inlineStr">
        <is>
          <t>Ticket desk 9</t>
        </is>
      </c>
      <c r="B152" s="6" t="inlineStr">
        <is>
          <t>N/A</t>
        </is>
      </c>
      <c r="C152" s="7" t="inlineStr">
        <is>
          <t>PaaS - customer identity</t>
        </is>
      </c>
      <c r="D152" s="8" t="inlineStr">
        <is>
          <t>Yes</t>
        </is>
      </c>
      <c r="E152" s="9" t="inlineStr">
        <is>
          <t>Team 1</t>
        </is>
      </c>
      <c r="F152" s="10" t="n">
        <v>965.25</v>
      </c>
      <c r="G152" s="11" t="n">
        <v>46158</v>
      </c>
      <c r="H152" s="12">
        <f>IF(D152="Yes",F152/10,0)</f>
        <v/>
      </c>
      <c r="I152" s="9" t="n"/>
    </row>
    <row r="153" ht="14.25" customHeight="1">
      <c r="A153" s="5" t="inlineStr">
        <is>
          <t>Wiki 9</t>
        </is>
      </c>
      <c r="B153" s="6" t="inlineStr">
        <is>
          <t>N/A</t>
        </is>
      </c>
      <c r="C153" s="7" t="inlineStr">
        <is>
          <t>PaaS - DNS hosting</t>
        </is>
      </c>
      <c r="D153" s="8" t="inlineStr">
        <is>
          <t>Yes</t>
        </is>
      </c>
      <c r="E153" s="9" t="inlineStr">
        <is>
          <t>Team 2</t>
        </is>
      </c>
      <c r="F153" s="10" t="n">
        <v>102.5</v>
      </c>
      <c r="G153" s="11" t="n">
        <v>46169</v>
      </c>
      <c r="H153" s="12">
        <f>IF(D153="Yes",F153/10,0)</f>
        <v/>
      </c>
      <c r="I153" s="9" t="n"/>
    </row>
    <row r="154" ht="14.25" customHeight="1">
      <c r="A154" s="5" t="inlineStr">
        <is>
          <t>Chat 9</t>
        </is>
      </c>
      <c r="B154" s="6" t="inlineStr">
        <is>
          <t>N/A</t>
        </is>
      </c>
      <c r="C154" s="7" t="inlineStr">
        <is>
          <t>PaaS - content network</t>
        </is>
      </c>
      <c r="D154" s="8" t="inlineStr">
        <is>
          <t>No</t>
        </is>
      </c>
      <c r="E154" s="9" t="inlineStr">
        <is>
          <t>Team 3</t>
        </is>
      </c>
      <c r="F154" s="10" t="n">
        <v>139.75</v>
      </c>
      <c r="G154" s="11" t="n">
        <v>46180</v>
      </c>
      <c r="H154" s="12">
        <f>IF(D154="Yes",F154/10,0)</f>
        <v/>
      </c>
      <c r="I154" s="9" t="inlineStr">
        <is>
          <t>Review due</t>
        </is>
      </c>
    </row>
    <row r="155" ht="14.25" customHeight="1">
      <c r="A155" s="5" t="inlineStr">
        <is>
          <t>File share 9</t>
        </is>
      </c>
      <c r="B155" s="6" t="inlineStr">
        <is>
          <t>To confirm</t>
        </is>
      </c>
      <c r="C155" s="7" t="inlineStr">
        <is>
          <t>Self-hosted software - static analysis</t>
        </is>
      </c>
      <c r="D155" s="8" t="inlineStr">
        <is>
          <t>Yes</t>
        </is>
      </c>
      <c r="E155" s="9" t="inlineStr">
        <is>
          <t>Team 4</t>
        </is>
      </c>
      <c r="F155" s="10" t="n">
        <v>176</v>
      </c>
      <c r="G155" s="11" t="n">
        <v>46191</v>
      </c>
      <c r="H155" s="12">
        <f>IF(D155="Yes",F155/10,0)</f>
        <v/>
      </c>
      <c r="I155" s="9" t="n"/>
    </row>
    <row r="156" ht="14.25" customHeight="1">
      <c r="A156" s="5" t="inlineStr">
        <is>
          <t>Backups 9</t>
        </is>
      </c>
      <c r="B156" s="6" t="inlineStr">
        <is>
          <t>N/A</t>
        </is>
      </c>
      <c r="C156" s="7" t="inlineStr">
        <is>
          <t>SaaS - source control</t>
        </is>
      </c>
      <c r="D156" s="8" t="inlineStr">
        <is>
          <t>Yes</t>
        </is>
      </c>
      <c r="E156" s="9" t="inlineStr">
        <is>
          <t>Team 5</t>
        </is>
      </c>
      <c r="F156" s="10" t="n">
        <v>213.25</v>
      </c>
      <c r="G156" s="11" t="n">
        <v>46202</v>
      </c>
      <c r="H156" s="12">
        <f>IF(D156="Yes",F156/10,0)</f>
        <v/>
      </c>
      <c r="I156" s="9" t="n"/>
    </row>
    <row r="157" ht="14.25" customHeight="1">
      <c r="A157" s="5" t="inlineStr">
        <is>
          <t>Directory 10</t>
        </is>
      </c>
      <c r="B157" s="6" t="inlineStr">
        <is>
          <t>N/A</t>
        </is>
      </c>
      <c r="C157" s="7" t="inlineStr">
        <is>
          <t>IaaS/PaaS - public cloud</t>
        </is>
      </c>
      <c r="D157" s="8" t="inlineStr">
        <is>
          <t>No</t>
        </is>
      </c>
      <c r="E157" s="9" t="inlineStr">
        <is>
          <t>Team 1</t>
        </is>
      </c>
      <c r="F157" s="10" t="n">
        <v>250.5</v>
      </c>
      <c r="G157" s="11" t="n">
        <v>46213</v>
      </c>
      <c r="H157" s="12">
        <f>IF(D157="Yes",F157/10,0)</f>
        <v/>
      </c>
      <c r="I157" s="9" t="n"/>
    </row>
    <row r="158" ht="14.25" customHeight="1">
      <c r="A158" s="5" t="inlineStr">
        <is>
          <t>Mail relay 10</t>
        </is>
      </c>
      <c r="B158" s="6" t="inlineStr">
        <is>
          <t>N/A</t>
        </is>
      </c>
      <c r="C158" s="7" t="inlineStr">
        <is>
          <t>PaaS - customer identity</t>
        </is>
      </c>
      <c r="D158" s="8" t="inlineStr">
        <is>
          <t>Yes</t>
        </is>
      </c>
      <c r="E158" s="9" t="inlineStr">
        <is>
          <t>Team 2</t>
        </is>
      </c>
      <c r="F158" s="10" t="n">
        <v>287.75</v>
      </c>
      <c r="G158" s="11" t="n">
        <v>46224</v>
      </c>
      <c r="H158" s="12">
        <f>IF(D158="Yes",F158/10,0)</f>
        <v/>
      </c>
      <c r="I158" s="9" t="n"/>
    </row>
    <row r="159" ht="14.25" customHeight="1">
      <c r="A159" s="5" t="inlineStr">
        <is>
          <t>Name service 10</t>
        </is>
      </c>
      <c r="B159" s="6" t="inlineStr">
        <is>
          <t>To confirm</t>
        </is>
      </c>
      <c r="C159" s="7" t="inlineStr">
        <is>
          <t>PaaS - DNS hosting</t>
        </is>
      </c>
      <c r="D159" s="8" t="inlineStr">
        <is>
          <t>Yes</t>
        </is>
      </c>
      <c r="E159" s="9" t="inlineStr">
        <is>
          <t>Team 3</t>
        </is>
      </c>
      <c r="F159" s="10" t="n">
        <v>324</v>
      </c>
      <c r="G159" s="11" t="n">
        <v>46235</v>
      </c>
      <c r="H159" s="12">
        <f>IF(D159="Yes",F159/10,0)</f>
        <v/>
      </c>
      <c r="I159" s="9" t="n"/>
    </row>
    <row r="160" ht="14.25" customHeight="1">
      <c r="A160" s="5" t="inlineStr">
        <is>
          <t>Content network 10</t>
        </is>
      </c>
      <c r="B160" s="6" t="inlineStr">
        <is>
          <t>N/A</t>
        </is>
      </c>
      <c r="C160" s="7" t="inlineStr">
        <is>
          <t>PaaS - content network</t>
        </is>
      </c>
      <c r="D160" s="8" t="inlineStr">
        <is>
          <t>No</t>
        </is>
      </c>
      <c r="E160" s="9" t="inlineStr">
        <is>
          <t>Team 4</t>
        </is>
      </c>
      <c r="F160" s="10" t="n">
        <v>361.25</v>
      </c>
      <c r="G160" s="11" t="n">
        <v>46246</v>
      </c>
      <c r="H160" s="12">
        <f>IF(D160="Yes",F160/10,0)</f>
        <v/>
      </c>
      <c r="I160" s="9" t="n"/>
    </row>
    <row r="161" ht="14.25" customHeight="1">
      <c r="A161" s="5" t="inlineStr">
        <is>
          <t>Firewall 10</t>
        </is>
      </c>
      <c r="B161" s="6" t="inlineStr">
        <is>
          <t>N/A</t>
        </is>
      </c>
      <c r="C161" s="7" t="inlineStr">
        <is>
          <t>Self-hosted software - static analysis</t>
        </is>
      </c>
      <c r="D161" s="8" t="inlineStr">
        <is>
          <t>Yes</t>
        </is>
      </c>
      <c r="E161" s="9" t="inlineStr">
        <is>
          <t>Team 5</t>
        </is>
      </c>
      <c r="F161" s="10" t="n">
        <v>398.5</v>
      </c>
      <c r="G161" s="11" t="n">
        <v>46257</v>
      </c>
      <c r="H161" s="12">
        <f>IF(D161="Yes",F161/10,0)</f>
        <v/>
      </c>
      <c r="I161" s="9" t="inlineStr">
        <is>
          <t>Review due</t>
        </is>
      </c>
    </row>
    <row r="162" ht="14.25" customHeight="1">
      <c r="A162" s="5" t="inlineStr">
        <is>
          <t>Edge cache 10</t>
        </is>
      </c>
      <c r="B162" s="6" t="inlineStr">
        <is>
          <t>N/A</t>
        </is>
      </c>
      <c r="C162" s="7" t="inlineStr">
        <is>
          <t>SaaS - source control</t>
        </is>
      </c>
      <c r="D162" s="8" t="inlineStr">
        <is>
          <t>Yes</t>
        </is>
      </c>
      <c r="E162" s="9" t="inlineStr">
        <is>
          <t>Team 1</t>
        </is>
      </c>
      <c r="F162" s="10" t="n">
        <v>435.75</v>
      </c>
      <c r="G162" s="11" t="n">
        <v>46268</v>
      </c>
      <c r="H162" s="12">
        <f>IF(D162="Yes",F162/10,0)</f>
        <v/>
      </c>
      <c r="I162" s="9" t="n"/>
    </row>
    <row r="163" ht="14.25" customHeight="1">
      <c r="A163" s="5" t="inlineStr">
        <is>
          <t>Build service 10</t>
        </is>
      </c>
      <c r="B163" s="6" t="inlineStr">
        <is>
          <t>To confirm</t>
        </is>
      </c>
      <c r="C163" s="7" t="inlineStr">
        <is>
          <t>IaaS/PaaS - public cloud</t>
        </is>
      </c>
      <c r="D163" s="8" t="inlineStr">
        <is>
          <t>No</t>
        </is>
      </c>
      <c r="E163" s="9" t="inlineStr">
        <is>
          <t>Team 2</t>
        </is>
      </c>
      <c r="F163" s="10" t="n">
        <v>472</v>
      </c>
      <c r="G163" s="11" t="n">
        <v>46279</v>
      </c>
      <c r="H163" s="12">
        <f>IF(D163="Yes",F163/10,0)</f>
        <v/>
      </c>
      <c r="I163" s="9" t="n"/>
    </row>
    <row r="164" ht="14.25" customHeight="1">
      <c r="A164" s="5" t="inlineStr">
        <is>
          <t>Code host 10</t>
        </is>
      </c>
      <c r="B164" s="6" t="inlineStr">
        <is>
          <t>N/A</t>
        </is>
      </c>
      <c r="C164" s="7" t="inlineStr">
        <is>
          <t>PaaS - customer identity</t>
        </is>
      </c>
      <c r="D164" s="8" t="inlineStr">
        <is>
          <t>Yes</t>
        </is>
      </c>
      <c r="E164" s="9" t="inlineStr">
        <is>
          <t>Team 3</t>
        </is>
      </c>
      <c r="F164" s="10" t="n">
        <v>509.25</v>
      </c>
      <c r="G164" s="11" t="n">
        <v>46290</v>
      </c>
      <c r="H164" s="12">
        <f>IF(D164="Yes",F164/10,0)</f>
        <v/>
      </c>
      <c r="I164" s="9" t="n"/>
    </row>
    <row r="165" ht="14.25" customHeight="1">
      <c r="A165" s="5" t="inlineStr">
        <is>
          <t>Code assistant 10</t>
        </is>
      </c>
      <c r="B165" s="6" t="inlineStr">
        <is>
          <t>N/A</t>
        </is>
      </c>
      <c r="C165" s="7" t="inlineStr">
        <is>
          <t>PaaS - DNS hosting</t>
        </is>
      </c>
      <c r="D165" s="8" t="inlineStr">
        <is>
          <t>Yes</t>
        </is>
      </c>
      <c r="E165" s="9" t="inlineStr">
        <is>
          <t>Team 4</t>
        </is>
      </c>
      <c r="F165" s="10" t="n">
        <v>546.5</v>
      </c>
      <c r="G165" s="11" t="n">
        <v>46301</v>
      </c>
      <c r="H165" s="12">
        <f>IF(D165="Yes",F165/10,0)</f>
        <v/>
      </c>
      <c r="I165" s="9" t="n"/>
    </row>
    <row r="166" ht="14.25" customHeight="1">
      <c r="A166" s="5" t="inlineStr">
        <is>
          <t>Code checks 10</t>
        </is>
      </c>
      <c r="B166" s="6" t="inlineStr">
        <is>
          <t>N/A</t>
        </is>
      </c>
      <c r="C166" s="7" t="inlineStr">
        <is>
          <t>PaaS - content network</t>
        </is>
      </c>
      <c r="D166" s="8" t="inlineStr">
        <is>
          <t>No</t>
        </is>
      </c>
      <c r="E166" s="9" t="inlineStr">
        <is>
          <t>Team 5</t>
        </is>
      </c>
      <c r="F166" s="10" t="n">
        <v>583.75</v>
      </c>
      <c r="G166" s="11" t="n">
        <v>46312</v>
      </c>
      <c r="H166" s="12">
        <f>IF(D166="Yes",F166/10,0)</f>
        <v/>
      </c>
      <c r="I166" s="9" t="n"/>
    </row>
    <row r="167" ht="14.25" customHeight="1">
      <c r="A167" s="5" t="inlineStr">
        <is>
          <t>Ticket desk 10</t>
        </is>
      </c>
      <c r="B167" s="6" t="inlineStr">
        <is>
          <t>To confirm</t>
        </is>
      </c>
      <c r="C167" s="7" t="inlineStr">
        <is>
          <t>Self-hosted software - static analysis</t>
        </is>
      </c>
      <c r="D167" s="8" t="inlineStr">
        <is>
          <t>Yes</t>
        </is>
      </c>
      <c r="E167" s="9" t="inlineStr">
        <is>
          <t>Team 1</t>
        </is>
      </c>
      <c r="F167" s="10" t="n">
        <v>620</v>
      </c>
      <c r="G167" s="11" t="n">
        <v>46323</v>
      </c>
      <c r="H167" s="12">
        <f>IF(D167="Yes",F167/10,0)</f>
        <v/>
      </c>
      <c r="I167" s="9" t="n"/>
    </row>
    <row r="168" ht="14.25" customHeight="1">
      <c r="A168" s="5" t="inlineStr">
        <is>
          <t>Wiki 10</t>
        </is>
      </c>
      <c r="B168" s="6" t="inlineStr">
        <is>
          <t>N/A</t>
        </is>
      </c>
      <c r="C168" s="7" t="inlineStr">
        <is>
          <t>SaaS - source control</t>
        </is>
      </c>
      <c r="D168" s="8" t="inlineStr">
        <is>
          <t>Yes</t>
        </is>
      </c>
      <c r="E168" s="9" t="inlineStr">
        <is>
          <t>Team 2</t>
        </is>
      </c>
      <c r="F168" s="10" t="n">
        <v>657.25</v>
      </c>
      <c r="G168" s="11" t="n">
        <v>46334</v>
      </c>
      <c r="H168" s="12">
        <f>IF(D168="Yes",F168/10,0)</f>
        <v/>
      </c>
      <c r="I168" s="9" t="inlineStr">
        <is>
          <t>Review due</t>
        </is>
      </c>
    </row>
    <row r="169" ht="14.25" customHeight="1">
      <c r="A169" s="5" t="inlineStr">
        <is>
          <t>Chat 10</t>
        </is>
      </c>
      <c r="B169" s="6" t="inlineStr">
        <is>
          <t>N/A</t>
        </is>
      </c>
      <c r="C169" s="7" t="inlineStr">
        <is>
          <t>IaaS/PaaS - public cloud</t>
        </is>
      </c>
      <c r="D169" s="8" t="inlineStr">
        <is>
          <t>No</t>
        </is>
      </c>
      <c r="E169" s="9" t="inlineStr">
        <is>
          <t>Team 3</t>
        </is>
      </c>
      <c r="F169" s="10" t="n">
        <v>694.5</v>
      </c>
      <c r="G169" s="11" t="n">
        <v>46345</v>
      </c>
      <c r="H169" s="12">
        <f>IF(D169="Yes",F169/10,0)</f>
        <v/>
      </c>
      <c r="I169" s="9" t="n"/>
    </row>
    <row r="170" ht="14.25" customHeight="1">
      <c r="A170" s="5" t="inlineStr">
        <is>
          <t>File share 10</t>
        </is>
      </c>
      <c r="B170" s="6" t="inlineStr">
        <is>
          <t>N/A</t>
        </is>
      </c>
      <c r="C170" s="7" t="inlineStr">
        <is>
          <t>PaaS - customer identity</t>
        </is>
      </c>
      <c r="D170" s="8" t="inlineStr">
        <is>
          <t>Yes</t>
        </is>
      </c>
      <c r="E170" s="9" t="inlineStr">
        <is>
          <t>Team 4</t>
        </is>
      </c>
      <c r="F170" s="10" t="n">
        <v>731.75</v>
      </c>
      <c r="G170" s="11" t="n">
        <v>46356</v>
      </c>
      <c r="H170" s="12">
        <f>IF(D170="Yes",F170/10,0)</f>
        <v/>
      </c>
      <c r="I170" s="9" t="n"/>
    </row>
    <row r="171" ht="14.25" customHeight="1">
      <c r="A171" s="5" t="inlineStr">
        <is>
          <t>Backups 10</t>
        </is>
      </c>
      <c r="B171" s="6" t="inlineStr">
        <is>
          <t>To confirm</t>
        </is>
      </c>
      <c r="C171" s="7" t="inlineStr">
        <is>
          <t>PaaS - DNS hosting</t>
        </is>
      </c>
      <c r="D171" s="8" t="inlineStr">
        <is>
          <t>Yes</t>
        </is>
      </c>
      <c r="E171" s="9" t="inlineStr">
        <is>
          <t>Team 5</t>
        </is>
      </c>
      <c r="F171" s="10" t="n">
        <v>768</v>
      </c>
      <c r="G171" s="11" t="n">
        <v>46367</v>
      </c>
      <c r="H171" s="12">
        <f>IF(D171="Yes",F171/10,0)</f>
        <v/>
      </c>
      <c r="I171" s="9" t="n"/>
    </row>
    <row r="172" ht="14.25" customHeight="1">
      <c r="A172" s="5" t="inlineStr">
        <is>
          <t>Directory 11</t>
        </is>
      </c>
      <c r="B172" s="6" t="inlineStr">
        <is>
          <t>N/A</t>
        </is>
      </c>
      <c r="C172" s="7" t="inlineStr">
        <is>
          <t>PaaS - content network</t>
        </is>
      </c>
      <c r="D172" s="8" t="inlineStr">
        <is>
          <t>No</t>
        </is>
      </c>
      <c r="E172" s="9" t="inlineStr">
        <is>
          <t>Team 1</t>
        </is>
      </c>
      <c r="F172" s="10" t="n">
        <v>805.25</v>
      </c>
      <c r="G172" s="11" t="n">
        <v>46378</v>
      </c>
      <c r="H172" s="12">
        <f>IF(D172="Yes",F172/10,0)</f>
        <v/>
      </c>
      <c r="I172" s="9" t="n"/>
    </row>
    <row r="173" ht="14.25" customHeight="1">
      <c r="A173" s="5" t="inlineStr">
        <is>
          <t>Mail relay 11</t>
        </is>
      </c>
      <c r="B173" s="6" t="inlineStr">
        <is>
          <t>N/A</t>
        </is>
      </c>
      <c r="C173" s="7" t="inlineStr">
        <is>
          <t>Self-hosted software - static analysis</t>
        </is>
      </c>
      <c r="D173" s="8" t="inlineStr">
        <is>
          <t>Yes</t>
        </is>
      </c>
      <c r="E173" s="9" t="inlineStr">
        <is>
          <t>Team 2</t>
        </is>
      </c>
      <c r="F173" s="10" t="n">
        <v>842.5</v>
      </c>
      <c r="G173" s="11" t="n">
        <v>46024</v>
      </c>
      <c r="H173" s="12">
        <f>IF(D173="Yes",F173/10,0)</f>
        <v/>
      </c>
      <c r="I173" s="9" t="n"/>
    </row>
    <row r="174" ht="14.25" customHeight="1">
      <c r="A174" s="5" t="inlineStr">
        <is>
          <t>Name service 11</t>
        </is>
      </c>
      <c r="B174" s="6" t="inlineStr">
        <is>
          <t>N/A</t>
        </is>
      </c>
      <c r="C174" s="7" t="inlineStr">
        <is>
          <t>SaaS - source control</t>
        </is>
      </c>
      <c r="D174" s="8" t="inlineStr">
        <is>
          <t>Yes</t>
        </is>
      </c>
      <c r="E174" s="9" t="inlineStr">
        <is>
          <t>Team 3</t>
        </is>
      </c>
      <c r="F174" s="10" t="n">
        <v>879.75</v>
      </c>
      <c r="G174" s="11" t="n">
        <v>46035</v>
      </c>
      <c r="H174" s="12">
        <f>IF(D174="Yes",F174/10,0)</f>
        <v/>
      </c>
      <c r="I174" s="9" t="n"/>
    </row>
    <row r="175" ht="14.25" customHeight="1">
      <c r="A175" s="5" t="inlineStr">
        <is>
          <t>Content network 11</t>
        </is>
      </c>
      <c r="B175" s="6" t="inlineStr">
        <is>
          <t>To confirm</t>
        </is>
      </c>
      <c r="C175" s="7" t="inlineStr">
        <is>
          <t>IaaS/PaaS - public cloud</t>
        </is>
      </c>
      <c r="D175" s="8" t="inlineStr">
        <is>
          <t>No</t>
        </is>
      </c>
      <c r="E175" s="9" t="inlineStr">
        <is>
          <t>Team 4</t>
        </is>
      </c>
      <c r="F175" s="10" t="n">
        <v>916</v>
      </c>
      <c r="G175" s="11" t="n">
        <v>46046</v>
      </c>
      <c r="H175" s="12">
        <f>IF(D175="Yes",F175/10,0)</f>
        <v/>
      </c>
      <c r="I175" s="9" t="inlineStr">
        <is>
          <t>Review due</t>
        </is>
      </c>
    </row>
    <row r="176" ht="14.25" customHeight="1">
      <c r="A176" s="5" t="inlineStr">
        <is>
          <t>Firewall 11</t>
        </is>
      </c>
      <c r="B176" s="6" t="inlineStr">
        <is>
          <t>N/A</t>
        </is>
      </c>
      <c r="C176" s="7" t="inlineStr">
        <is>
          <t>PaaS - customer identity</t>
        </is>
      </c>
      <c r="D176" s="8" t="inlineStr">
        <is>
          <t>Yes</t>
        </is>
      </c>
      <c r="E176" s="9" t="inlineStr">
        <is>
          <t>Team 5</t>
        </is>
      </c>
      <c r="F176" s="10" t="n">
        <v>953.25</v>
      </c>
      <c r="G176" s="11" t="n">
        <v>46057</v>
      </c>
      <c r="H176" s="12">
        <f>IF(D176="Yes",F176/10,0)</f>
        <v/>
      </c>
      <c r="I176" s="9" t="n"/>
    </row>
    <row r="177" ht="14.25" customHeight="1">
      <c r="A177" s="5" t="inlineStr">
        <is>
          <t>Edge cache 11</t>
        </is>
      </c>
      <c r="B177" s="6" t="inlineStr">
        <is>
          <t>N/A</t>
        </is>
      </c>
      <c r="C177" s="7" t="inlineStr">
        <is>
          <t>PaaS - DNS hosting</t>
        </is>
      </c>
      <c r="D177" s="8" t="inlineStr">
        <is>
          <t>Yes</t>
        </is>
      </c>
      <c r="E177" s="9" t="inlineStr">
        <is>
          <t>Team 1</t>
        </is>
      </c>
      <c r="F177" s="10" t="n">
        <v>990.5</v>
      </c>
      <c r="G177" s="11" t="n">
        <v>46068</v>
      </c>
      <c r="H177" s="12">
        <f>IF(D177="Yes",F177/10,0)</f>
        <v/>
      </c>
      <c r="I177" s="9" t="n"/>
    </row>
    <row r="178" ht="14.25" customHeight="1">
      <c r="A178" s="5" t="inlineStr">
        <is>
          <t>Build service 11</t>
        </is>
      </c>
      <c r="B178" s="6" t="inlineStr">
        <is>
          <t>N/A</t>
        </is>
      </c>
      <c r="C178" s="7" t="inlineStr">
        <is>
          <t>PaaS - content network</t>
        </is>
      </c>
      <c r="D178" s="8" t="inlineStr">
        <is>
          <t>No</t>
        </is>
      </c>
      <c r="E178" s="9" t="inlineStr">
        <is>
          <t>Team 2</t>
        </is>
      </c>
      <c r="F178" s="10" t="n">
        <v>127.75</v>
      </c>
      <c r="G178" s="11" t="n">
        <v>46079</v>
      </c>
      <c r="H178" s="12">
        <f>IF(D178="Yes",F178/10,0)</f>
        <v/>
      </c>
      <c r="I178" s="9" t="n"/>
    </row>
    <row r="179" ht="14.25" customHeight="1">
      <c r="A179" s="5" t="inlineStr">
        <is>
          <t>Code host 11</t>
        </is>
      </c>
      <c r="B179" s="6" t="inlineStr">
        <is>
          <t>To confirm</t>
        </is>
      </c>
      <c r="C179" s="7" t="inlineStr">
        <is>
          <t>Self-hosted software - static analysis</t>
        </is>
      </c>
      <c r="D179" s="8" t="inlineStr">
        <is>
          <t>Yes</t>
        </is>
      </c>
      <c r="E179" s="9" t="inlineStr">
        <is>
          <t>Team 3</t>
        </is>
      </c>
      <c r="F179" s="10" t="n">
        <v>164</v>
      </c>
      <c r="G179" s="11" t="n">
        <v>46090</v>
      </c>
      <c r="H179" s="12">
        <f>IF(D179="Yes",F179/10,0)</f>
        <v/>
      </c>
      <c r="I179" s="9" t="n"/>
    </row>
    <row r="180" ht="14.25" customHeight="1">
      <c r="A180" s="5" t="inlineStr">
        <is>
          <t>Code assistant 11</t>
        </is>
      </c>
      <c r="B180" s="6" t="inlineStr">
        <is>
          <t>N/A</t>
        </is>
      </c>
      <c r="C180" s="7" t="inlineStr">
        <is>
          <t>SaaS - source control</t>
        </is>
      </c>
      <c r="D180" s="8" t="inlineStr">
        <is>
          <t>Yes</t>
        </is>
      </c>
      <c r="E180" s="9" t="inlineStr">
        <is>
          <t>Team 4</t>
        </is>
      </c>
      <c r="F180" s="10" t="n">
        <v>201.25</v>
      </c>
      <c r="G180" s="11" t="n">
        <v>46101</v>
      </c>
      <c r="H180" s="12">
        <f>IF(D180="Yes",F180/10,0)</f>
        <v/>
      </c>
      <c r="I180" s="9" t="n"/>
    </row>
    <row r="181" ht="14.25" customHeight="1">
      <c r="A181" s="5" t="inlineStr">
        <is>
          <t>Code checks 11</t>
        </is>
      </c>
      <c r="B181" s="6" t="inlineStr">
        <is>
          <t>N/A</t>
        </is>
      </c>
      <c r="C181" s="7" t="inlineStr">
        <is>
          <t>IaaS/PaaS - public cloud</t>
        </is>
      </c>
      <c r="D181" s="8" t="inlineStr">
        <is>
          <t>No</t>
        </is>
      </c>
      <c r="E181" s="9" t="inlineStr">
        <is>
          <t>Team 5</t>
        </is>
      </c>
      <c r="F181" s="10" t="n">
        <v>238.5</v>
      </c>
      <c r="G181" s="11" t="n">
        <v>46112</v>
      </c>
      <c r="H181" s="12">
        <f>IF(D181="Yes",F181/10,0)</f>
        <v/>
      </c>
      <c r="I181" s="9" t="n"/>
    </row>
    <row r="182" ht="14.25" customHeight="1">
      <c r="A182" s="5" t="inlineStr">
        <is>
          <t>Ticket desk 11</t>
        </is>
      </c>
      <c r="B182" s="6" t="inlineStr">
        <is>
          <t>N/A</t>
        </is>
      </c>
      <c r="C182" s="7" t="inlineStr">
        <is>
          <t>PaaS - customer identity</t>
        </is>
      </c>
      <c r="D182" s="8" t="inlineStr">
        <is>
          <t>Yes</t>
        </is>
      </c>
      <c r="E182" s="9" t="inlineStr">
        <is>
          <t>Team 1</t>
        </is>
      </c>
      <c r="F182" s="10" t="n">
        <v>275.75</v>
      </c>
      <c r="G182" s="11" t="n">
        <v>46123</v>
      </c>
      <c r="H182" s="12">
        <f>IF(D182="Yes",F182/10,0)</f>
        <v/>
      </c>
      <c r="I182" s="9" t="inlineStr">
        <is>
          <t>Review due</t>
        </is>
      </c>
    </row>
    <row r="183" ht="14.25" customHeight="1">
      <c r="A183" s="5" t="inlineStr">
        <is>
          <t>Wiki 11</t>
        </is>
      </c>
      <c r="B183" s="6" t="inlineStr">
        <is>
          <t>To confirm</t>
        </is>
      </c>
      <c r="C183" s="7" t="inlineStr">
        <is>
          <t>PaaS - DNS hosting</t>
        </is>
      </c>
      <c r="D183" s="8" t="inlineStr">
        <is>
          <t>Yes</t>
        </is>
      </c>
      <c r="E183" s="9" t="inlineStr">
        <is>
          <t>Team 2</t>
        </is>
      </c>
      <c r="F183" s="10" t="n">
        <v>312</v>
      </c>
      <c r="G183" s="11" t="n">
        <v>46134</v>
      </c>
      <c r="H183" s="12">
        <f>IF(D183="Yes",F183/10,0)</f>
        <v/>
      </c>
      <c r="I183" s="9" t="n"/>
    </row>
    <row r="184" ht="14.25" customHeight="1">
      <c r="A184" s="5" t="inlineStr">
        <is>
          <t>Chat 11</t>
        </is>
      </c>
      <c r="B184" s="6" t="inlineStr">
        <is>
          <t>N/A</t>
        </is>
      </c>
      <c r="C184" s="7" t="inlineStr">
        <is>
          <t>PaaS - content network</t>
        </is>
      </c>
      <c r="D184" s="8" t="inlineStr">
        <is>
          <t>No</t>
        </is>
      </c>
      <c r="E184" s="9" t="inlineStr">
        <is>
          <t>Team 3</t>
        </is>
      </c>
      <c r="F184" s="10" t="n">
        <v>349.25</v>
      </c>
      <c r="G184" s="11" t="n">
        <v>46145</v>
      </c>
      <c r="H184" s="12">
        <f>IF(D184="Yes",F184/10,0)</f>
        <v/>
      </c>
      <c r="I184" s="9" t="n"/>
    </row>
    <row r="185" ht="14.25" customHeight="1">
      <c r="A185" s="5" t="inlineStr">
        <is>
          <t>File share 11</t>
        </is>
      </c>
      <c r="B185" s="6" t="inlineStr">
        <is>
          <t>N/A</t>
        </is>
      </c>
      <c r="C185" s="7" t="inlineStr">
        <is>
          <t>Self-hosted software - static analysis</t>
        </is>
      </c>
      <c r="D185" s="8" t="inlineStr">
        <is>
          <t>Yes</t>
        </is>
      </c>
      <c r="E185" s="9" t="inlineStr">
        <is>
          <t>Team 4</t>
        </is>
      </c>
      <c r="F185" s="10" t="n">
        <v>386.5</v>
      </c>
      <c r="G185" s="11" t="n">
        <v>46156</v>
      </c>
      <c r="H185" s="12">
        <f>IF(D185="Yes",F185/10,0)</f>
        <v/>
      </c>
      <c r="I185" s="9" t="n"/>
    </row>
    <row r="186" ht="14.25" customHeight="1">
      <c r="A186" s="5" t="inlineStr">
        <is>
          <t>Backups 11</t>
        </is>
      </c>
      <c r="B186" s="6" t="inlineStr">
        <is>
          <t>N/A</t>
        </is>
      </c>
      <c r="C186" s="7" t="inlineStr">
        <is>
          <t>SaaS - source control</t>
        </is>
      </c>
      <c r="D186" s="8" t="inlineStr">
        <is>
          <t>Yes</t>
        </is>
      </c>
      <c r="E186" s="9" t="inlineStr">
        <is>
          <t>Team 5</t>
        </is>
      </c>
      <c r="F186" s="10" t="n">
        <v>423.75</v>
      </c>
      <c r="G186" s="11" t="n">
        <v>46167</v>
      </c>
      <c r="H186" s="12">
        <f>IF(D186="Yes",F186/10,0)</f>
        <v/>
      </c>
      <c r="I186" s="9" t="n"/>
    </row>
    <row r="187" ht="14.25" customHeight="1">
      <c r="A187" s="5" t="inlineStr">
        <is>
          <t>Directory 12</t>
        </is>
      </c>
      <c r="B187" s="6" t="inlineStr">
        <is>
          <t>To confirm</t>
        </is>
      </c>
      <c r="C187" s="7" t="inlineStr">
        <is>
          <t>IaaS/PaaS - public cloud</t>
        </is>
      </c>
      <c r="D187" s="8" t="inlineStr">
        <is>
          <t>No</t>
        </is>
      </c>
      <c r="E187" s="9" t="inlineStr">
        <is>
          <t>Team 1</t>
        </is>
      </c>
      <c r="F187" s="10" t="n">
        <v>460</v>
      </c>
      <c r="G187" s="11" t="n">
        <v>46178</v>
      </c>
      <c r="H187" s="12">
        <f>IF(D187="Yes",F187/10,0)</f>
        <v/>
      </c>
      <c r="I187" s="9" t="n"/>
    </row>
    <row r="188" ht="14.25" customHeight="1">
      <c r="A188" s="5" t="inlineStr">
        <is>
          <t>Mail relay 12</t>
        </is>
      </c>
      <c r="B188" s="6" t="inlineStr">
        <is>
          <t>N/A</t>
        </is>
      </c>
      <c r="C188" s="7" t="inlineStr">
        <is>
          <t>PaaS - customer identity</t>
        </is>
      </c>
      <c r="D188" s="8" t="inlineStr">
        <is>
          <t>Yes</t>
        </is>
      </c>
      <c r="E188" s="9" t="inlineStr">
        <is>
          <t>Team 2</t>
        </is>
      </c>
      <c r="F188" s="10" t="n">
        <v>497.25</v>
      </c>
      <c r="G188" s="11" t="n">
        <v>46189</v>
      </c>
      <c r="H188" s="12">
        <f>IF(D188="Yes",F188/10,0)</f>
        <v/>
      </c>
      <c r="I188" s="9" t="n"/>
    </row>
    <row r="189" ht="14.25" customHeight="1">
      <c r="A189" s="5" t="inlineStr">
        <is>
          <t>Name service 12</t>
        </is>
      </c>
      <c r="B189" s="6" t="inlineStr">
        <is>
          <t>N/A</t>
        </is>
      </c>
      <c r="C189" s="7" t="inlineStr">
        <is>
          <t>PaaS - DNS hosting</t>
        </is>
      </c>
      <c r="D189" s="8" t="inlineStr">
        <is>
          <t>Yes</t>
        </is>
      </c>
      <c r="E189" s="9" t="inlineStr">
        <is>
          <t>Team 3</t>
        </is>
      </c>
      <c r="F189" s="10" t="n">
        <v>534.5</v>
      </c>
      <c r="G189" s="11" t="n">
        <v>46200</v>
      </c>
      <c r="H189" s="12">
        <f>IF(D189="Yes",F189/10,0)</f>
        <v/>
      </c>
      <c r="I189" s="9" t="inlineStr">
        <is>
          <t>Review due</t>
        </is>
      </c>
    </row>
    <row r="190" ht="14.25" customHeight="1">
      <c r="A190" s="5" t="inlineStr">
        <is>
          <t>Content network 12</t>
        </is>
      </c>
      <c r="B190" s="6" t="inlineStr">
        <is>
          <t>N/A</t>
        </is>
      </c>
      <c r="C190" s="7" t="inlineStr">
        <is>
          <t>PaaS - content network</t>
        </is>
      </c>
      <c r="D190" s="8" t="inlineStr">
        <is>
          <t>No</t>
        </is>
      </c>
      <c r="E190" s="9" t="inlineStr">
        <is>
          <t>Team 4</t>
        </is>
      </c>
      <c r="F190" s="10" t="n">
        <v>571.75</v>
      </c>
      <c r="G190" s="11" t="n">
        <v>46211</v>
      </c>
      <c r="H190" s="12">
        <f>IF(D190="Yes",F190/10,0)</f>
        <v/>
      </c>
      <c r="I190" s="9" t="n"/>
    </row>
    <row r="191" ht="14.25" customHeight="1">
      <c r="A191" s="5" t="inlineStr">
        <is>
          <t>Firewall 12</t>
        </is>
      </c>
      <c r="B191" s="6" t="inlineStr">
        <is>
          <t>To confirm</t>
        </is>
      </c>
      <c r="C191" s="7" t="inlineStr">
        <is>
          <t>Self-hosted software - static analysis</t>
        </is>
      </c>
      <c r="D191" s="8" t="inlineStr">
        <is>
          <t>Yes</t>
        </is>
      </c>
      <c r="E191" s="9" t="inlineStr">
        <is>
          <t>Team 5</t>
        </is>
      </c>
      <c r="F191" s="10" t="n">
        <v>608</v>
      </c>
      <c r="G191" s="11" t="n">
        <v>46222</v>
      </c>
      <c r="H191" s="12">
        <f>IF(D191="Yes",F191/10,0)</f>
        <v/>
      </c>
      <c r="I191" s="9" t="n"/>
    </row>
    <row r="192" ht="14.25" customHeight="1">
      <c r="A192" s="5" t="inlineStr">
        <is>
          <t>Edge cache 12</t>
        </is>
      </c>
      <c r="B192" s="6" t="inlineStr">
        <is>
          <t>N/A</t>
        </is>
      </c>
      <c r="C192" s="7" t="inlineStr">
        <is>
          <t>SaaS - source control</t>
        </is>
      </c>
      <c r="D192" s="8" t="inlineStr">
        <is>
          <t>Yes</t>
        </is>
      </c>
      <c r="E192" s="9" t="inlineStr">
        <is>
          <t>Team 1</t>
        </is>
      </c>
      <c r="F192" s="10" t="n">
        <v>645.25</v>
      </c>
      <c r="G192" s="11" t="n">
        <v>46233</v>
      </c>
      <c r="H192" s="12">
        <f>IF(D192="Yes",F192/10,0)</f>
        <v/>
      </c>
      <c r="I192" s="9" t="n"/>
    </row>
    <row r="193" ht="14.25" customHeight="1">
      <c r="A193" s="5" t="inlineStr">
        <is>
          <t>Build service 12</t>
        </is>
      </c>
      <c r="B193" s="6" t="inlineStr">
        <is>
          <t>N/A</t>
        </is>
      </c>
      <c r="C193" s="7" t="inlineStr">
        <is>
          <t>IaaS/PaaS - public cloud</t>
        </is>
      </c>
      <c r="D193" s="8" t="inlineStr">
        <is>
          <t>No</t>
        </is>
      </c>
      <c r="E193" s="9" t="inlineStr">
        <is>
          <t>Team 2</t>
        </is>
      </c>
      <c r="F193" s="10" t="n">
        <v>682.5</v>
      </c>
      <c r="G193" s="11" t="n">
        <v>46244</v>
      </c>
      <c r="H193" s="12">
        <f>IF(D193="Yes",F193/10,0)</f>
        <v/>
      </c>
      <c r="I193" s="9" t="n"/>
    </row>
    <row r="194" ht="14.25" customHeight="1">
      <c r="A194" s="5" t="inlineStr">
        <is>
          <t>Code host 12</t>
        </is>
      </c>
      <c r="B194" s="6" t="inlineStr">
        <is>
          <t>N/A</t>
        </is>
      </c>
      <c r="C194" s="7" t="inlineStr">
        <is>
          <t>PaaS - customer identity</t>
        </is>
      </c>
      <c r="D194" s="8" t="inlineStr">
        <is>
          <t>Yes</t>
        </is>
      </c>
      <c r="E194" s="9" t="inlineStr">
        <is>
          <t>Team 3</t>
        </is>
      </c>
      <c r="F194" s="10" t="n">
        <v>719.75</v>
      </c>
      <c r="G194" s="11" t="n">
        <v>46255</v>
      </c>
      <c r="H194" s="12">
        <f>IF(D194="Yes",F194/10,0)</f>
        <v/>
      </c>
      <c r="I194" s="9" t="n"/>
    </row>
    <row r="195" ht="14.25" customHeight="1">
      <c r="A195" s="5" t="inlineStr">
        <is>
          <t>Code assistant 12</t>
        </is>
      </c>
      <c r="B195" s="6" t="inlineStr">
        <is>
          <t>To confirm</t>
        </is>
      </c>
      <c r="C195" s="7" t="inlineStr">
        <is>
          <t>PaaS - DNS hosting</t>
        </is>
      </c>
      <c r="D195" s="8" t="inlineStr">
        <is>
          <t>Yes</t>
        </is>
      </c>
      <c r="E195" s="9" t="inlineStr">
        <is>
          <t>Team 4</t>
        </is>
      </c>
      <c r="F195" s="10" t="n">
        <v>756</v>
      </c>
      <c r="G195" s="11" t="n">
        <v>46266</v>
      </c>
      <c r="H195" s="12">
        <f>IF(D195="Yes",F195/10,0)</f>
        <v/>
      </c>
      <c r="I195" s="9" t="n"/>
    </row>
    <row r="196" ht="14.25" customHeight="1">
      <c r="A196" s="5" t="inlineStr">
        <is>
          <t>Code checks 12</t>
        </is>
      </c>
      <c r="B196" s="6" t="inlineStr">
        <is>
          <t>N/A</t>
        </is>
      </c>
      <c r="C196" s="7" t="inlineStr">
        <is>
          <t>PaaS - content network</t>
        </is>
      </c>
      <c r="D196" s="8" t="inlineStr">
        <is>
          <t>No</t>
        </is>
      </c>
      <c r="E196" s="9" t="inlineStr">
        <is>
          <t>Team 5</t>
        </is>
      </c>
      <c r="F196" s="10" t="n">
        <v>793.25</v>
      </c>
      <c r="G196" s="11" t="n">
        <v>46277</v>
      </c>
      <c r="H196" s="12">
        <f>IF(D196="Yes",F196/10,0)</f>
        <v/>
      </c>
      <c r="I196" s="9" t="inlineStr">
        <is>
          <t>Review due</t>
        </is>
      </c>
    </row>
    <row r="197" ht="14.25" customHeight="1">
      <c r="A197" s="5" t="inlineStr">
        <is>
          <t>Ticket desk 12</t>
        </is>
      </c>
      <c r="B197" s="6" t="inlineStr">
        <is>
          <t>N/A</t>
        </is>
      </c>
      <c r="C197" s="7" t="inlineStr">
        <is>
          <t>Self-hosted software - static analysis</t>
        </is>
      </c>
      <c r="D197" s="8" t="inlineStr">
        <is>
          <t>Yes</t>
        </is>
      </c>
      <c r="E197" s="9" t="inlineStr">
        <is>
          <t>Team 1</t>
        </is>
      </c>
      <c r="F197" s="10" t="n">
        <v>830.5</v>
      </c>
      <c r="G197" s="11" t="n">
        <v>46288</v>
      </c>
      <c r="H197" s="12">
        <f>IF(D197="Yes",F197/10,0)</f>
        <v/>
      </c>
      <c r="I197" s="9" t="n"/>
    </row>
    <row r="198" ht="14.25" customHeight="1">
      <c r="A198" s="5" t="inlineStr">
        <is>
          <t>Wiki 12</t>
        </is>
      </c>
      <c r="B198" s="6" t="inlineStr">
        <is>
          <t>N/A</t>
        </is>
      </c>
      <c r="C198" s="7" t="inlineStr">
        <is>
          <t>SaaS - source control</t>
        </is>
      </c>
      <c r="D198" s="8" t="inlineStr">
        <is>
          <t>Yes</t>
        </is>
      </c>
      <c r="E198" s="9" t="inlineStr">
        <is>
          <t>Team 2</t>
        </is>
      </c>
      <c r="F198" s="10" t="n">
        <v>867.75</v>
      </c>
      <c r="G198" s="11" t="n">
        <v>46299</v>
      </c>
      <c r="H198" s="12">
        <f>IF(D198="Yes",F198/10,0)</f>
        <v/>
      </c>
      <c r="I198" s="9" t="n"/>
    </row>
    <row r="199" ht="14.25" customHeight="1">
      <c r="A199" s="5" t="inlineStr">
        <is>
          <t>Chat 12</t>
        </is>
      </c>
      <c r="B199" s="6" t="inlineStr">
        <is>
          <t>To confirm</t>
        </is>
      </c>
      <c r="C199" s="7" t="inlineStr">
        <is>
          <t>IaaS/PaaS - public cloud</t>
        </is>
      </c>
      <c r="D199" s="8" t="inlineStr">
        <is>
          <t>No</t>
        </is>
      </c>
      <c r="E199" s="9" t="inlineStr">
        <is>
          <t>Team 3</t>
        </is>
      </c>
      <c r="F199" s="10" t="n">
        <v>904</v>
      </c>
      <c r="G199" s="11" t="n">
        <v>46310</v>
      </c>
      <c r="H199" s="12">
        <f>IF(D199="Yes",F199/10,0)</f>
        <v/>
      </c>
      <c r="I199" s="9" t="n"/>
    </row>
    <row r="200" ht="14.25" customHeight="1">
      <c r="A200" s="5" t="inlineStr">
        <is>
          <t>File share 12</t>
        </is>
      </c>
      <c r="B200" s="6" t="inlineStr">
        <is>
          <t>N/A</t>
        </is>
      </c>
      <c r="C200" s="7" t="inlineStr">
        <is>
          <t>PaaS - customer identity</t>
        </is>
      </c>
      <c r="D200" s="8" t="inlineStr">
        <is>
          <t>Yes</t>
        </is>
      </c>
      <c r="E200" s="9" t="inlineStr">
        <is>
          <t>Team 4</t>
        </is>
      </c>
      <c r="F200" s="10" t="n">
        <v>941.25</v>
      </c>
      <c r="G200" s="11" t="n">
        <v>46321</v>
      </c>
      <c r="H200" s="12">
        <f>IF(D200="Yes",F200/10,0)</f>
        <v/>
      </c>
      <c r="I200" s="9" t="n"/>
    </row>
    <row r="201" ht="14.25" customHeight="1">
      <c r="A201" s="5" t="inlineStr">
        <is>
          <t>Backups 12</t>
        </is>
      </c>
      <c r="B201" s="6" t="inlineStr">
        <is>
          <t>N/A</t>
        </is>
      </c>
      <c r="C201" s="7" t="inlineStr">
        <is>
          <t>PaaS - DNS hosting</t>
        </is>
      </c>
      <c r="D201" s="8" t="inlineStr">
        <is>
          <t>Yes</t>
        </is>
      </c>
      <c r="E201" s="9" t="inlineStr">
        <is>
          <t>Team 5</t>
        </is>
      </c>
      <c r="F201" s="10" t="n">
        <v>978.5</v>
      </c>
      <c r="G201" s="11" t="n">
        <v>46332</v>
      </c>
      <c r="H201" s="12">
        <f>IF(D201="Yes",F201/10,0)</f>
        <v/>
      </c>
      <c r="I201" s="9" t="n"/>
    </row>
    <row r="202" ht="14.25" customHeight="1">
      <c r="A202" s="5" t="inlineStr">
        <is>
          <t>Directory 13</t>
        </is>
      </c>
      <c r="B202" s="6" t="inlineStr">
        <is>
          <t>N/A</t>
        </is>
      </c>
      <c r="C202" s="7" t="inlineStr">
        <is>
          <t>PaaS - content network</t>
        </is>
      </c>
      <c r="D202" s="8" t="inlineStr">
        <is>
          <t>No</t>
        </is>
      </c>
      <c r="E202" s="9" t="inlineStr">
        <is>
          <t>Team 1</t>
        </is>
      </c>
      <c r="F202" s="10" t="n">
        <v>115.75</v>
      </c>
      <c r="G202" s="11" t="n">
        <v>46343</v>
      </c>
      <c r="H202" s="12">
        <f>IF(D202="Yes",F202/10,0)</f>
        <v/>
      </c>
      <c r="I202" s="9" t="n"/>
    </row>
    <row r="203" ht="14.25" customHeight="1">
      <c r="A203" s="5" t="inlineStr">
        <is>
          <t>Mail relay 13</t>
        </is>
      </c>
      <c r="B203" s="6" t="inlineStr">
        <is>
          <t>To confirm</t>
        </is>
      </c>
      <c r="C203" s="7" t="inlineStr">
        <is>
          <t>Self-hosted software - static analysis</t>
        </is>
      </c>
      <c r="D203" s="8" t="inlineStr">
        <is>
          <t>Yes</t>
        </is>
      </c>
      <c r="E203" s="9" t="inlineStr">
        <is>
          <t>Team 2</t>
        </is>
      </c>
      <c r="F203" s="10" t="n">
        <v>152</v>
      </c>
      <c r="G203" s="11" t="n">
        <v>46354</v>
      </c>
      <c r="H203" s="12">
        <f>IF(D203="Yes",F203/10,0)</f>
        <v/>
      </c>
      <c r="I203" s="9" t="inlineStr">
        <is>
          <t>Review due</t>
        </is>
      </c>
    </row>
    <row r="204" ht="14.25" customHeight="1">
      <c r="A204" s="5" t="inlineStr">
        <is>
          <t>Name service 13</t>
        </is>
      </c>
      <c r="B204" s="6" t="inlineStr">
        <is>
          <t>N/A</t>
        </is>
      </c>
      <c r="C204" s="7" t="inlineStr">
        <is>
          <t>SaaS - source control</t>
        </is>
      </c>
      <c r="D204" s="8" t="inlineStr">
        <is>
          <t>Yes</t>
        </is>
      </c>
      <c r="E204" s="9" t="inlineStr">
        <is>
          <t>Team 3</t>
        </is>
      </c>
      <c r="F204" s="10" t="n">
        <v>189.25</v>
      </c>
      <c r="G204" s="11" t="n">
        <v>46365</v>
      </c>
      <c r="H204" s="12">
        <f>IF(D204="Yes",F204/10,0)</f>
        <v/>
      </c>
      <c r="I204" s="9" t="n"/>
    </row>
    <row r="205" ht="14.25" customHeight="1">
      <c r="A205" s="5" t="inlineStr">
        <is>
          <t>Content network 13</t>
        </is>
      </c>
      <c r="B205" s="6" t="inlineStr">
        <is>
          <t>N/A</t>
        </is>
      </c>
      <c r="C205" s="7" t="inlineStr">
        <is>
          <t>IaaS/PaaS - public cloud</t>
        </is>
      </c>
      <c r="D205" s="8" t="inlineStr">
        <is>
          <t>No</t>
        </is>
      </c>
      <c r="E205" s="9" t="inlineStr">
        <is>
          <t>Team 4</t>
        </is>
      </c>
      <c r="F205" s="10" t="n">
        <v>226.5</v>
      </c>
      <c r="G205" s="11" t="n">
        <v>46376</v>
      </c>
      <c r="H205" s="12">
        <f>IF(D205="Yes",F205/10,0)</f>
        <v/>
      </c>
      <c r="I205" s="9" t="n"/>
    </row>
    <row r="206" ht="14.25" customHeight="1">
      <c r="A206" s="5" t="inlineStr">
        <is>
          <t>Firewall 13</t>
        </is>
      </c>
      <c r="B206" s="6" t="inlineStr">
        <is>
          <t>N/A</t>
        </is>
      </c>
      <c r="C206" s="7" t="inlineStr">
        <is>
          <t>PaaS - customer identity</t>
        </is>
      </c>
      <c r="D206" s="8" t="inlineStr">
        <is>
          <t>Yes</t>
        </is>
      </c>
      <c r="E206" s="9" t="inlineStr">
        <is>
          <t>Team 5</t>
        </is>
      </c>
      <c r="F206" s="10" t="n">
        <v>263.75</v>
      </c>
      <c r="G206" s="11" t="n">
        <v>46387</v>
      </c>
      <c r="H206" s="12">
        <f>IF(D206="Yes",F206/10,0)</f>
        <v/>
      </c>
      <c r="I206" s="9" t="n"/>
    </row>
    <row r="207" ht="14.25" customHeight="1">
      <c r="A207" s="5" t="inlineStr">
        <is>
          <t>Edge cache 13</t>
        </is>
      </c>
      <c r="B207" s="6" t="inlineStr">
        <is>
          <t>To confirm</t>
        </is>
      </c>
      <c r="C207" s="7" t="inlineStr">
        <is>
          <t>PaaS - DNS hosting</t>
        </is>
      </c>
      <c r="D207" s="8" t="inlineStr">
        <is>
          <t>Yes</t>
        </is>
      </c>
      <c r="E207" s="9" t="inlineStr">
        <is>
          <t>Team 1</t>
        </is>
      </c>
      <c r="F207" s="10" t="n">
        <v>300</v>
      </c>
      <c r="G207" s="11" t="n">
        <v>46033</v>
      </c>
      <c r="H207" s="12">
        <f>IF(D207="Yes",F207/10,0)</f>
        <v/>
      </c>
      <c r="I207" s="9" t="n"/>
    </row>
    <row r="208" ht="14.25" customHeight="1">
      <c r="A208" s="5" t="inlineStr">
        <is>
          <t>Build service 13</t>
        </is>
      </c>
      <c r="B208" s="6" t="inlineStr">
        <is>
          <t>N/A</t>
        </is>
      </c>
      <c r="C208" s="7" t="inlineStr">
        <is>
          <t>PaaS - content network</t>
        </is>
      </c>
      <c r="D208" s="8" t="inlineStr">
        <is>
          <t>No</t>
        </is>
      </c>
      <c r="E208" s="9" t="inlineStr">
        <is>
          <t>Team 2</t>
        </is>
      </c>
      <c r="F208" s="10" t="n">
        <v>337.25</v>
      </c>
      <c r="G208" s="11" t="n">
        <v>46044</v>
      </c>
      <c r="H208" s="12">
        <f>IF(D208="Yes",F208/10,0)</f>
        <v/>
      </c>
      <c r="I208" s="9" t="n"/>
    </row>
    <row r="209" ht="14.25" customHeight="1">
      <c r="A209" s="5" t="inlineStr">
        <is>
          <t>Code host 13</t>
        </is>
      </c>
      <c r="B209" s="6" t="inlineStr">
        <is>
          <t>N/A</t>
        </is>
      </c>
      <c r="C209" s="7" t="inlineStr">
        <is>
          <t>Self-hosted software - static analysis</t>
        </is>
      </c>
      <c r="D209" s="8" t="inlineStr">
        <is>
          <t>Yes</t>
        </is>
      </c>
      <c r="E209" s="9" t="inlineStr">
        <is>
          <t>Team 3</t>
        </is>
      </c>
      <c r="F209" s="10" t="n">
        <v>374.5</v>
      </c>
      <c r="G209" s="11" t="n">
        <v>46055</v>
      </c>
      <c r="H209" s="12">
        <f>IF(D209="Yes",F209/10,0)</f>
        <v/>
      </c>
      <c r="I209" s="9" t="n"/>
    </row>
    <row r="210" ht="14.25" customHeight="1">
      <c r="A210" s="5" t="inlineStr">
        <is>
          <t>Code assistant 13</t>
        </is>
      </c>
      <c r="B210" s="6" t="inlineStr">
        <is>
          <t>N/A</t>
        </is>
      </c>
      <c r="C210" s="7" t="inlineStr">
        <is>
          <t>SaaS - source control</t>
        </is>
      </c>
      <c r="D210" s="8" t="inlineStr">
        <is>
          <t>Yes</t>
        </is>
      </c>
      <c r="E210" s="9" t="inlineStr">
        <is>
          <t>Team 4</t>
        </is>
      </c>
      <c r="F210" s="10" t="n">
        <v>411.75</v>
      </c>
      <c r="G210" s="11" t="n">
        <v>46066</v>
      </c>
      <c r="H210" s="12">
        <f>IF(D210="Yes",F210/10,0)</f>
        <v/>
      </c>
      <c r="I210" s="9" t="inlineStr">
        <is>
          <t>Review due</t>
        </is>
      </c>
    </row>
    <row r="211" ht="14.25" customHeight="1">
      <c r="A211" s="5" t="inlineStr">
        <is>
          <t>Code checks 13</t>
        </is>
      </c>
      <c r="B211" s="6" t="inlineStr">
        <is>
          <t>To confirm</t>
        </is>
      </c>
      <c r="C211" s="7" t="inlineStr">
        <is>
          <t>IaaS/PaaS - public cloud</t>
        </is>
      </c>
      <c r="D211" s="8" t="inlineStr">
        <is>
          <t>No</t>
        </is>
      </c>
      <c r="E211" s="9" t="inlineStr">
        <is>
          <t>Team 5</t>
        </is>
      </c>
      <c r="F211" s="10" t="n">
        <v>448</v>
      </c>
      <c r="G211" s="11" t="n">
        <v>46077</v>
      </c>
      <c r="H211" s="12">
        <f>IF(D211="Yes",F211/10,0)</f>
        <v/>
      </c>
      <c r="I211" s="9" t="n"/>
    </row>
    <row r="212" ht="14.25" customHeight="1">
      <c r="A212" s="5" t="inlineStr">
        <is>
          <t>Ticket desk 13</t>
        </is>
      </c>
      <c r="B212" s="6" t="inlineStr">
        <is>
          <t>N/A</t>
        </is>
      </c>
      <c r="C212" s="7" t="inlineStr">
        <is>
          <t>PaaS - customer identity</t>
        </is>
      </c>
      <c r="D212" s="8" t="inlineStr">
        <is>
          <t>Yes</t>
        </is>
      </c>
      <c r="E212" s="9" t="inlineStr">
        <is>
          <t>Team 1</t>
        </is>
      </c>
      <c r="F212" s="10" t="n">
        <v>485.25</v>
      </c>
      <c r="G212" s="11" t="n">
        <v>46088</v>
      </c>
      <c r="H212" s="12">
        <f>IF(D212="Yes",F212/10,0)</f>
        <v/>
      </c>
      <c r="I212" s="9" t="n"/>
    </row>
    <row r="213" ht="14.25" customHeight="1">
      <c r="A213" s="5" t="inlineStr">
        <is>
          <t>Wiki 13</t>
        </is>
      </c>
      <c r="B213" s="6" t="inlineStr">
        <is>
          <t>N/A</t>
        </is>
      </c>
      <c r="C213" s="7" t="inlineStr">
        <is>
          <t>PaaS - DNS hosting</t>
        </is>
      </c>
      <c r="D213" s="8" t="inlineStr">
        <is>
          <t>Yes</t>
        </is>
      </c>
      <c r="E213" s="9" t="inlineStr">
        <is>
          <t>Team 2</t>
        </is>
      </c>
      <c r="F213" s="10" t="n">
        <v>522.5</v>
      </c>
      <c r="G213" s="11" t="n">
        <v>46099</v>
      </c>
      <c r="H213" s="12">
        <f>IF(D213="Yes",F213/10,0)</f>
        <v/>
      </c>
      <c r="I213" s="9" t="n"/>
    </row>
    <row r="214" ht="14.25" customHeight="1">
      <c r="A214" s="5" t="inlineStr">
        <is>
          <t>Chat 13</t>
        </is>
      </c>
      <c r="B214" s="6" t="inlineStr">
        <is>
          <t>N/A</t>
        </is>
      </c>
      <c r="C214" s="7" t="inlineStr">
        <is>
          <t>PaaS - content network</t>
        </is>
      </c>
      <c r="D214" s="8" t="inlineStr">
        <is>
          <t>No</t>
        </is>
      </c>
      <c r="E214" s="9" t="inlineStr">
        <is>
          <t>Team 3</t>
        </is>
      </c>
      <c r="F214" s="10" t="n">
        <v>559.75</v>
      </c>
      <c r="G214" s="11" t="n">
        <v>46110</v>
      </c>
      <c r="H214" s="12">
        <f>IF(D214="Yes",F214/10,0)</f>
        <v/>
      </c>
      <c r="I214" s="9" t="n"/>
    </row>
    <row r="215" ht="14.25" customHeight="1">
      <c r="A215" s="5" t="inlineStr">
        <is>
          <t>File share 13</t>
        </is>
      </c>
      <c r="B215" s="6" t="inlineStr">
        <is>
          <t>To confirm</t>
        </is>
      </c>
      <c r="C215" s="7" t="inlineStr">
        <is>
          <t>Self-hosted software - static analysis</t>
        </is>
      </c>
      <c r="D215" s="8" t="inlineStr">
        <is>
          <t>Yes</t>
        </is>
      </c>
      <c r="E215" s="9" t="inlineStr">
        <is>
          <t>Team 4</t>
        </is>
      </c>
      <c r="F215" s="10" t="n">
        <v>596</v>
      </c>
      <c r="G215" s="11" t="n">
        <v>46121</v>
      </c>
      <c r="H215" s="12">
        <f>IF(D215="Yes",F215/10,0)</f>
        <v/>
      </c>
      <c r="I215" s="9" t="n"/>
    </row>
    <row r="216" ht="14.25" customHeight="1">
      <c r="A216" s="5" t="inlineStr">
        <is>
          <t>Backups 13</t>
        </is>
      </c>
      <c r="B216" s="6" t="inlineStr">
        <is>
          <t>N/A</t>
        </is>
      </c>
      <c r="C216" s="7" t="inlineStr">
        <is>
          <t>SaaS - source control</t>
        </is>
      </c>
      <c r="D216" s="8" t="inlineStr">
        <is>
          <t>Yes</t>
        </is>
      </c>
      <c r="E216" s="9" t="inlineStr">
        <is>
          <t>Team 5</t>
        </is>
      </c>
      <c r="F216" s="10" t="n">
        <v>633.25</v>
      </c>
      <c r="G216" s="11" t="n">
        <v>46132</v>
      </c>
      <c r="H216" s="12">
        <f>IF(D216="Yes",F216/10,0)</f>
        <v/>
      </c>
      <c r="I216" s="9" t="n"/>
    </row>
    <row r="217" ht="14.25" customHeight="1">
      <c r="A217" s="5" t="inlineStr">
        <is>
          <t>Directory 14</t>
        </is>
      </c>
      <c r="B217" s="6" t="inlineStr">
        <is>
          <t>N/A</t>
        </is>
      </c>
      <c r="C217" s="7" t="inlineStr">
        <is>
          <t>IaaS/PaaS - public cloud</t>
        </is>
      </c>
      <c r="D217" s="8" t="inlineStr">
        <is>
          <t>No</t>
        </is>
      </c>
      <c r="E217" s="9" t="inlineStr">
        <is>
          <t>Team 1</t>
        </is>
      </c>
      <c r="F217" s="10" t="n">
        <v>670.5</v>
      </c>
      <c r="G217" s="11" t="n">
        <v>46143</v>
      </c>
      <c r="H217" s="12">
        <f>IF(D217="Yes",F217/10,0)</f>
        <v/>
      </c>
      <c r="I217" s="9" t="inlineStr">
        <is>
          <t>Review due</t>
        </is>
      </c>
    </row>
    <row r="218" ht="14.25" customHeight="1">
      <c r="A218" s="5" t="inlineStr">
        <is>
          <t>Mail relay 14</t>
        </is>
      </c>
      <c r="B218" s="6" t="inlineStr">
        <is>
          <t>N/A</t>
        </is>
      </c>
      <c r="C218" s="7" t="inlineStr">
        <is>
          <t>PaaS - customer identity</t>
        </is>
      </c>
      <c r="D218" s="8" t="inlineStr">
        <is>
          <t>Yes</t>
        </is>
      </c>
      <c r="E218" s="9" t="inlineStr">
        <is>
          <t>Team 2</t>
        </is>
      </c>
      <c r="F218" s="10" t="n">
        <v>707.75</v>
      </c>
      <c r="G218" s="11" t="n">
        <v>46154</v>
      </c>
      <c r="H218" s="12">
        <f>IF(D218="Yes",F218/10,0)</f>
        <v/>
      </c>
      <c r="I218" s="9" t="n"/>
    </row>
    <row r="219" ht="14.25" customHeight="1">
      <c r="A219" s="5" t="inlineStr">
        <is>
          <t>Name service 14</t>
        </is>
      </c>
      <c r="B219" s="6" t="inlineStr">
        <is>
          <t>To confirm</t>
        </is>
      </c>
      <c r="C219" s="7" t="inlineStr">
        <is>
          <t>PaaS - DNS hosting</t>
        </is>
      </c>
      <c r="D219" s="8" t="inlineStr">
        <is>
          <t>Yes</t>
        </is>
      </c>
      <c r="E219" s="9" t="inlineStr">
        <is>
          <t>Team 3</t>
        </is>
      </c>
      <c r="F219" s="10" t="n">
        <v>744</v>
      </c>
      <c r="G219" s="11" t="n">
        <v>46165</v>
      </c>
      <c r="H219" s="12">
        <f>IF(D219="Yes",F219/10,0)</f>
        <v/>
      </c>
      <c r="I219" s="9" t="n"/>
    </row>
    <row r="220" ht="14.25" customHeight="1">
      <c r="A220" s="5" t="inlineStr">
        <is>
          <t>Content network 14</t>
        </is>
      </c>
      <c r="B220" s="6" t="inlineStr">
        <is>
          <t>N/A</t>
        </is>
      </c>
      <c r="C220" s="7" t="inlineStr">
        <is>
          <t>PaaS - content network</t>
        </is>
      </c>
      <c r="D220" s="8" t="inlineStr">
        <is>
          <t>No</t>
        </is>
      </c>
      <c r="E220" s="9" t="inlineStr">
        <is>
          <t>Team 4</t>
        </is>
      </c>
      <c r="F220" s="10" t="n">
        <v>781.25</v>
      </c>
      <c r="G220" s="11" t="n">
        <v>46176</v>
      </c>
      <c r="H220" s="12">
        <f>IF(D220="Yes",F220/10,0)</f>
        <v/>
      </c>
      <c r="I220" s="9" t="n"/>
    </row>
    <row r="221" ht="14.25" customHeight="1">
      <c r="A221" s="5" t="inlineStr">
        <is>
          <t>Firewall 14</t>
        </is>
      </c>
      <c r="B221" s="6" t="inlineStr">
        <is>
          <t>N/A</t>
        </is>
      </c>
      <c r="C221" s="7" t="inlineStr">
        <is>
          <t>Self-hosted software - static analysis</t>
        </is>
      </c>
      <c r="D221" s="8" t="inlineStr">
        <is>
          <t>Yes</t>
        </is>
      </c>
      <c r="E221" s="9" t="inlineStr">
        <is>
          <t>Team 5</t>
        </is>
      </c>
      <c r="F221" s="10" t="n">
        <v>818.5</v>
      </c>
      <c r="G221" s="11" t="n">
        <v>46187</v>
      </c>
      <c r="H221" s="12">
        <f>IF(D221="Yes",F221/10,0)</f>
        <v/>
      </c>
      <c r="I221" s="9" t="n"/>
    </row>
    <row r="222" ht="14.25" customHeight="1">
      <c r="A222" s="5" t="inlineStr">
        <is>
          <t>Edge cache 14</t>
        </is>
      </c>
      <c r="B222" s="6" t="inlineStr">
        <is>
          <t>N/A</t>
        </is>
      </c>
      <c r="C222" s="7" t="inlineStr">
        <is>
          <t>SaaS - source control</t>
        </is>
      </c>
      <c r="D222" s="8" t="inlineStr">
        <is>
          <t>Yes</t>
        </is>
      </c>
      <c r="E222" s="9" t="inlineStr">
        <is>
          <t>Team 1</t>
        </is>
      </c>
      <c r="F222" s="10" t="n">
        <v>855.75</v>
      </c>
      <c r="G222" s="11" t="n">
        <v>46198</v>
      </c>
      <c r="H222" s="12">
        <f>IF(D222="Yes",F222/10,0)</f>
        <v/>
      </c>
      <c r="I222" s="9" t="n"/>
    </row>
    <row r="223" ht="14.25" customHeight="1">
      <c r="A223" s="5" t="inlineStr">
        <is>
          <t>Build service 14</t>
        </is>
      </c>
      <c r="B223" s="6" t="inlineStr">
        <is>
          <t>To confirm</t>
        </is>
      </c>
      <c r="C223" s="7" t="inlineStr">
        <is>
          <t>IaaS/PaaS - public cloud</t>
        </is>
      </c>
      <c r="D223" s="8" t="inlineStr">
        <is>
          <t>No</t>
        </is>
      </c>
      <c r="E223" s="9" t="inlineStr">
        <is>
          <t>Team 2</t>
        </is>
      </c>
      <c r="F223" s="10" t="n">
        <v>892</v>
      </c>
      <c r="G223" s="11" t="n">
        <v>46209</v>
      </c>
      <c r="H223" s="12">
        <f>IF(D223="Yes",F223/10,0)</f>
        <v/>
      </c>
      <c r="I223" s="9" t="n"/>
    </row>
    <row r="224" ht="14.25" customHeight="1">
      <c r="A224" s="5" t="inlineStr">
        <is>
          <t>Code host 14</t>
        </is>
      </c>
      <c r="B224" s="6" t="inlineStr">
        <is>
          <t>N/A</t>
        </is>
      </c>
      <c r="C224" s="7" t="inlineStr">
        <is>
          <t>PaaS - customer identity</t>
        </is>
      </c>
      <c r="D224" s="8" t="inlineStr">
        <is>
          <t>Yes</t>
        </is>
      </c>
      <c r="E224" s="9" t="inlineStr">
        <is>
          <t>Team 3</t>
        </is>
      </c>
      <c r="F224" s="10" t="n">
        <v>929.25</v>
      </c>
      <c r="G224" s="11" t="n">
        <v>46220</v>
      </c>
      <c r="H224" s="12">
        <f>IF(D224="Yes",F224/10,0)</f>
        <v/>
      </c>
      <c r="I224" s="9" t="inlineStr">
        <is>
          <t>Review due</t>
        </is>
      </c>
    </row>
    <row r="225" ht="14.25" customHeight="1">
      <c r="A225" s="5" t="inlineStr">
        <is>
          <t>Code assistant 14</t>
        </is>
      </c>
      <c r="B225" s="6" t="inlineStr">
        <is>
          <t>N/A</t>
        </is>
      </c>
      <c r="C225" s="7" t="inlineStr">
        <is>
          <t>PaaS - DNS hosting</t>
        </is>
      </c>
      <c r="D225" s="8" t="inlineStr">
        <is>
          <t>Yes</t>
        </is>
      </c>
      <c r="E225" s="9" t="inlineStr">
        <is>
          <t>Team 4</t>
        </is>
      </c>
      <c r="F225" s="10" t="n">
        <v>966.5</v>
      </c>
      <c r="G225" s="11" t="n">
        <v>46231</v>
      </c>
      <c r="H225" s="12">
        <f>IF(D225="Yes",F225/10,0)</f>
        <v/>
      </c>
      <c r="I225" s="9" t="n"/>
    </row>
    <row r="226" ht="14.25" customHeight="1">
      <c r="A226" s="5" t="inlineStr">
        <is>
          <t>Code checks 14</t>
        </is>
      </c>
      <c r="B226" s="6" t="inlineStr">
        <is>
          <t>N/A</t>
        </is>
      </c>
      <c r="C226" s="7" t="inlineStr">
        <is>
          <t>PaaS - content network</t>
        </is>
      </c>
      <c r="D226" s="8" t="inlineStr">
        <is>
          <t>No</t>
        </is>
      </c>
      <c r="E226" s="9" t="inlineStr">
        <is>
          <t>Team 5</t>
        </is>
      </c>
      <c r="F226" s="10" t="n">
        <v>103.75</v>
      </c>
      <c r="G226" s="11" t="n">
        <v>46242</v>
      </c>
      <c r="H226" s="12">
        <f>IF(D226="Yes",F226/10,0)</f>
        <v/>
      </c>
      <c r="I226" s="9" t="n"/>
    </row>
    <row r="227" ht="14.25" customHeight="1">
      <c r="A227" s="5" t="inlineStr">
        <is>
          <t>Ticket desk 14</t>
        </is>
      </c>
      <c r="B227" s="6" t="inlineStr">
        <is>
          <t>To confirm</t>
        </is>
      </c>
      <c r="C227" s="7" t="inlineStr">
        <is>
          <t>Self-hosted software - static analysis</t>
        </is>
      </c>
      <c r="D227" s="8" t="inlineStr">
        <is>
          <t>Yes</t>
        </is>
      </c>
      <c r="E227" s="9" t="inlineStr">
        <is>
          <t>Team 1</t>
        </is>
      </c>
      <c r="F227" s="10" t="n">
        <v>140</v>
      </c>
      <c r="G227" s="11" t="n">
        <v>46253</v>
      </c>
      <c r="H227" s="12">
        <f>IF(D227="Yes",F227/10,0)</f>
        <v/>
      </c>
      <c r="I227" s="9" t="n"/>
    </row>
    <row r="228" ht="14.25" customHeight="1">
      <c r="A228" s="5" t="inlineStr">
        <is>
          <t>Wiki 14</t>
        </is>
      </c>
      <c r="B228" s="6" t="inlineStr">
        <is>
          <t>N/A</t>
        </is>
      </c>
      <c r="C228" s="7" t="inlineStr">
        <is>
          <t>SaaS - source control</t>
        </is>
      </c>
      <c r="D228" s="8" t="inlineStr">
        <is>
          <t>Yes</t>
        </is>
      </c>
      <c r="E228" s="9" t="inlineStr">
        <is>
          <t>Team 2</t>
        </is>
      </c>
      <c r="F228" s="10" t="n">
        <v>177.25</v>
      </c>
      <c r="G228" s="11" t="n">
        <v>46264</v>
      </c>
      <c r="H228" s="12">
        <f>IF(D228="Yes",F228/10,0)</f>
        <v/>
      </c>
      <c r="I228" s="9" t="n"/>
    </row>
    <row r="229" ht="14.25" customHeight="1">
      <c r="A229" s="5" t="inlineStr">
        <is>
          <t>Chat 14</t>
        </is>
      </c>
      <c r="B229" s="6" t="inlineStr">
        <is>
          <t>N/A</t>
        </is>
      </c>
      <c r="C229" s="7" t="inlineStr">
        <is>
          <t>IaaS/PaaS - public cloud</t>
        </is>
      </c>
      <c r="D229" s="8" t="inlineStr">
        <is>
          <t>No</t>
        </is>
      </c>
      <c r="E229" s="9" t="inlineStr">
        <is>
          <t>Team 3</t>
        </is>
      </c>
      <c r="F229" s="10" t="n">
        <v>214.5</v>
      </c>
      <c r="G229" s="11" t="n">
        <v>46275</v>
      </c>
      <c r="H229" s="12">
        <f>IF(D229="Yes",F229/10,0)</f>
        <v/>
      </c>
      <c r="I229" s="9" t="n"/>
    </row>
    <row r="230" ht="14.25" customHeight="1">
      <c r="A230" s="5" t="inlineStr">
        <is>
          <t>File share 14</t>
        </is>
      </c>
      <c r="B230" s="6" t="inlineStr">
        <is>
          <t>N/A</t>
        </is>
      </c>
      <c r="C230" s="7" t="inlineStr">
        <is>
          <t>PaaS - customer identity</t>
        </is>
      </c>
      <c r="D230" s="8" t="inlineStr">
        <is>
          <t>Yes</t>
        </is>
      </c>
      <c r="E230" s="9" t="inlineStr">
        <is>
          <t>Team 4</t>
        </is>
      </c>
      <c r="F230" s="10" t="n">
        <v>251.75</v>
      </c>
      <c r="G230" s="11" t="n">
        <v>46286</v>
      </c>
      <c r="H230" s="12">
        <f>IF(D230="Yes",F230/10,0)</f>
        <v/>
      </c>
      <c r="I230" s="9" t="n"/>
    </row>
    <row r="231" ht="14.25" customHeight="1">
      <c r="A231" s="5" t="inlineStr">
        <is>
          <t>Backups 14</t>
        </is>
      </c>
      <c r="B231" s="6" t="inlineStr">
        <is>
          <t>To confirm</t>
        </is>
      </c>
      <c r="C231" s="7" t="inlineStr">
        <is>
          <t>PaaS - DNS hosting</t>
        </is>
      </c>
      <c r="D231" s="8" t="inlineStr">
        <is>
          <t>Yes</t>
        </is>
      </c>
      <c r="E231" s="9" t="inlineStr">
        <is>
          <t>Team 5</t>
        </is>
      </c>
      <c r="F231" s="10" t="n">
        <v>288</v>
      </c>
      <c r="G231" s="11" t="n">
        <v>46297</v>
      </c>
      <c r="H231" s="12">
        <f>IF(D231="Yes",F231/10,0)</f>
        <v/>
      </c>
      <c r="I231" s="9" t="inlineStr">
        <is>
          <t>Review due</t>
        </is>
      </c>
    </row>
    <row r="232" ht="14.25" customHeight="1">
      <c r="A232" s="5" t="inlineStr">
        <is>
          <t>Directory 15</t>
        </is>
      </c>
      <c r="B232" s="6" t="inlineStr">
        <is>
          <t>N/A</t>
        </is>
      </c>
      <c r="C232" s="7" t="inlineStr">
        <is>
          <t>PaaS - content network</t>
        </is>
      </c>
      <c r="D232" s="8" t="inlineStr">
        <is>
          <t>No</t>
        </is>
      </c>
      <c r="E232" s="9" t="inlineStr">
        <is>
          <t>Team 1</t>
        </is>
      </c>
      <c r="F232" s="10" t="n">
        <v>325.25</v>
      </c>
      <c r="G232" s="11" t="n">
        <v>46308</v>
      </c>
      <c r="H232" s="12">
        <f>IF(D232="Yes",F232/10,0)</f>
        <v/>
      </c>
      <c r="I232" s="9" t="n"/>
    </row>
    <row r="233" ht="14.25" customHeight="1">
      <c r="A233" s="5" t="inlineStr">
        <is>
          <t>Mail relay 15</t>
        </is>
      </c>
      <c r="B233" s="6" t="inlineStr">
        <is>
          <t>N/A</t>
        </is>
      </c>
      <c r="C233" s="7" t="inlineStr">
        <is>
          <t>Self-hosted software - static analysis</t>
        </is>
      </c>
      <c r="D233" s="8" t="inlineStr">
        <is>
          <t>Yes</t>
        </is>
      </c>
      <c r="E233" s="9" t="inlineStr">
        <is>
          <t>Team 2</t>
        </is>
      </c>
      <c r="F233" s="10" t="n">
        <v>362.5</v>
      </c>
      <c r="G233" s="11" t="n">
        <v>46319</v>
      </c>
      <c r="H233" s="12">
        <f>IF(D233="Yes",F233/10,0)</f>
        <v/>
      </c>
      <c r="I233" s="9" t="n"/>
    </row>
    <row r="234" ht="14.25" customHeight="1">
      <c r="A234" s="5" t="inlineStr">
        <is>
          <t>Name service 15</t>
        </is>
      </c>
      <c r="B234" s="6" t="inlineStr">
        <is>
          <t>N/A</t>
        </is>
      </c>
      <c r="C234" s="7" t="inlineStr">
        <is>
          <t>SaaS - source control</t>
        </is>
      </c>
      <c r="D234" s="8" t="inlineStr">
        <is>
          <t>Yes</t>
        </is>
      </c>
      <c r="E234" s="9" t="inlineStr">
        <is>
          <t>Team 3</t>
        </is>
      </c>
      <c r="F234" s="10" t="n">
        <v>399.75</v>
      </c>
      <c r="G234" s="11" t="n">
        <v>46330</v>
      </c>
      <c r="H234" s="12">
        <f>IF(D234="Yes",F234/10,0)</f>
        <v/>
      </c>
      <c r="I234" s="9" t="n"/>
    </row>
    <row r="235" ht="14.25" customHeight="1">
      <c r="A235" s="5" t="inlineStr">
        <is>
          <t>Content network 15</t>
        </is>
      </c>
      <c r="B235" s="6" t="inlineStr">
        <is>
          <t>To confirm</t>
        </is>
      </c>
      <c r="C235" s="7" t="inlineStr">
        <is>
          <t>IaaS/PaaS - public cloud</t>
        </is>
      </c>
      <c r="D235" s="8" t="inlineStr">
        <is>
          <t>No</t>
        </is>
      </c>
      <c r="E235" s="9" t="inlineStr">
        <is>
          <t>Team 4</t>
        </is>
      </c>
      <c r="F235" s="10" t="n">
        <v>436</v>
      </c>
      <c r="G235" s="11" t="n">
        <v>46341</v>
      </c>
      <c r="H235" s="12">
        <f>IF(D235="Yes",F235/10,0)</f>
        <v/>
      </c>
      <c r="I235" s="9" t="n"/>
    </row>
    <row r="236" ht="14.25" customHeight="1">
      <c r="A236" s="5" t="inlineStr">
        <is>
          <t>Firewall 15</t>
        </is>
      </c>
      <c r="B236" s="6" t="inlineStr">
        <is>
          <t>N/A</t>
        </is>
      </c>
      <c r="C236" s="7" t="inlineStr">
        <is>
          <t>PaaS - customer identity</t>
        </is>
      </c>
      <c r="D236" s="8" t="inlineStr">
        <is>
          <t>Yes</t>
        </is>
      </c>
      <c r="E236" s="9" t="inlineStr">
        <is>
          <t>Team 5</t>
        </is>
      </c>
      <c r="F236" s="10" t="n">
        <v>473.25</v>
      </c>
      <c r="G236" s="11" t="n">
        <v>46352</v>
      </c>
      <c r="H236" s="12">
        <f>IF(D236="Yes",F236/10,0)</f>
        <v/>
      </c>
      <c r="I236" s="9" t="n"/>
    </row>
    <row r="237" ht="14.25" customHeight="1">
      <c r="A237" s="5" t="inlineStr">
        <is>
          <t>Edge cache 15</t>
        </is>
      </c>
      <c r="B237" s="6" t="inlineStr">
        <is>
          <t>N/A</t>
        </is>
      </c>
      <c r="C237" s="7" t="inlineStr">
        <is>
          <t>PaaS - DNS hosting</t>
        </is>
      </c>
      <c r="D237" s="8" t="inlineStr">
        <is>
          <t>Yes</t>
        </is>
      </c>
      <c r="E237" s="9" t="inlineStr">
        <is>
          <t>Team 1</t>
        </is>
      </c>
      <c r="F237" s="10" t="n">
        <v>510.5</v>
      </c>
      <c r="G237" s="11" t="n">
        <v>46363</v>
      </c>
      <c r="H237" s="12">
        <f>IF(D237="Yes",F237/10,0)</f>
        <v/>
      </c>
      <c r="I237" s="9" t="n"/>
    </row>
    <row r="238" ht="14.25" customHeight="1">
      <c r="A238" s="5" t="inlineStr">
        <is>
          <t>Build service 15</t>
        </is>
      </c>
      <c r="B238" s="6" t="inlineStr">
        <is>
          <t>N/A</t>
        </is>
      </c>
      <c r="C238" s="7" t="inlineStr">
        <is>
          <t>PaaS - content network</t>
        </is>
      </c>
      <c r="D238" s="8" t="inlineStr">
        <is>
          <t>No</t>
        </is>
      </c>
      <c r="E238" s="9" t="inlineStr">
        <is>
          <t>Team 2</t>
        </is>
      </c>
      <c r="F238" s="10" t="n">
        <v>547.75</v>
      </c>
      <c r="G238" s="11" t="n">
        <v>46374</v>
      </c>
      <c r="H238" s="12">
        <f>IF(D238="Yes",F238/10,0)</f>
        <v/>
      </c>
      <c r="I238" s="9" t="inlineStr">
        <is>
          <t>Review due</t>
        </is>
      </c>
    </row>
    <row r="239" ht="14.25" customHeight="1">
      <c r="A239" s="5" t="inlineStr">
        <is>
          <t>Code host 15</t>
        </is>
      </c>
      <c r="B239" s="6" t="inlineStr">
        <is>
          <t>To confirm</t>
        </is>
      </c>
      <c r="C239" s="7" t="inlineStr">
        <is>
          <t>Self-hosted software - static analysis</t>
        </is>
      </c>
      <c r="D239" s="8" t="inlineStr">
        <is>
          <t>Yes</t>
        </is>
      </c>
      <c r="E239" s="9" t="inlineStr">
        <is>
          <t>Team 3</t>
        </is>
      </c>
      <c r="F239" s="10" t="n">
        <v>584</v>
      </c>
      <c r="G239" s="11" t="n">
        <v>46385</v>
      </c>
      <c r="H239" s="12">
        <f>IF(D239="Yes",F239/10,0)</f>
        <v/>
      </c>
      <c r="I239" s="9" t="n"/>
    </row>
    <row r="240" ht="14.25" customHeight="1">
      <c r="A240" s="5" t="inlineStr">
        <is>
          <t>Code assistant 15</t>
        </is>
      </c>
      <c r="B240" s="6" t="inlineStr">
        <is>
          <t>N/A</t>
        </is>
      </c>
      <c r="C240" s="7" t="inlineStr">
        <is>
          <t>SaaS - source control</t>
        </is>
      </c>
      <c r="D240" s="8" t="inlineStr">
        <is>
          <t>Yes</t>
        </is>
      </c>
      <c r="E240" s="9" t="inlineStr">
        <is>
          <t>Team 4</t>
        </is>
      </c>
      <c r="F240" s="10" t="n">
        <v>621.25</v>
      </c>
      <c r="G240" s="11" t="n">
        <v>46031</v>
      </c>
      <c r="H240" s="12">
        <f>IF(D240="Yes",F240/10,0)</f>
        <v/>
      </c>
      <c r="I240" s="9" t="n"/>
    </row>
    <row r="241" ht="14.25" customHeight="1">
      <c r="A241" s="5" t="inlineStr">
        <is>
          <t>Code checks 15</t>
        </is>
      </c>
      <c r="B241" s="6" t="inlineStr">
        <is>
          <t>N/A</t>
        </is>
      </c>
      <c r="C241" s="7" t="inlineStr">
        <is>
          <t>IaaS/PaaS - public cloud</t>
        </is>
      </c>
      <c r="D241" s="8" t="inlineStr">
        <is>
          <t>No</t>
        </is>
      </c>
      <c r="E241" s="9" t="inlineStr">
        <is>
          <t>Team 5</t>
        </is>
      </c>
      <c r="F241" s="10" t="n">
        <v>658.5</v>
      </c>
      <c r="G241" s="11" t="n">
        <v>46042</v>
      </c>
      <c r="H241" s="12">
        <f>IF(D241="Yes",F241/10,0)</f>
        <v/>
      </c>
      <c r="I241" s="9" t="n"/>
    </row>
    <row r="242" ht="14.25" customHeight="1">
      <c r="A242" s="5" t="inlineStr">
        <is>
          <t>Ticket desk 15</t>
        </is>
      </c>
      <c r="B242" s="6" t="inlineStr">
        <is>
          <t>N/A</t>
        </is>
      </c>
      <c r="C242" s="7" t="inlineStr">
        <is>
          <t>PaaS - customer identity</t>
        </is>
      </c>
      <c r="D242" s="8" t="inlineStr">
        <is>
          <t>Yes</t>
        </is>
      </c>
      <c r="E242" s="9" t="inlineStr">
        <is>
          <t>Team 1</t>
        </is>
      </c>
      <c r="F242" s="10" t="n">
        <v>695.75</v>
      </c>
      <c r="G242" s="11" t="n">
        <v>46053</v>
      </c>
      <c r="H242" s="12">
        <f>IF(D242="Yes",F242/10,0)</f>
        <v/>
      </c>
      <c r="I242" s="9" t="n"/>
    </row>
  </sheetData>
  <autoFilter ref="A6:I242"/>
  <mergeCells count="3">
    <mergeCell ref="A3:C3"/>
    <mergeCell ref="A2:C2"/>
    <mergeCell ref="D5:F5"/>
  </mergeCells>
  <conditionalFormatting sqref="F7:F242">
    <cfRule type="cellIs" priority="1" operator="greaterThan" dxfId="0">
      <formula>800</formula>
    </cfRule>
    <cfRule type="cellIs" priority="2" operator="between" dxfId="1">
      <formula>100</formula>
      <formula>200</formula>
    </cfRule>
    <cfRule type="dataBar" priority="6">
      <dataBar>
        <cfvo type="min"/>
        <cfvo type="max"/>
        <color rgb="FF638EC6"/>
      </dataBar>
    </cfRule>
  </conditionalFormatting>
  <conditionalFormatting sqref="A7:I242">
    <cfRule type="expression" priority="3" dxfId="2">
      <formula>$D7="No"</formula>
    </cfRule>
  </conditionalFormatting>
  <conditionalFormatting sqref="H7:H2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:G242">
    <cfRule type="colorScale" priority="5">
      <colorScale>
        <cfvo type="min"/>
        <cfvo type="max"/>
        <color rgb="FFFFFFFF"/>
        <color rgb="FF5A8AC6"/>
      </colorScale>
    </cfRule>
  </conditionalFormatting>
  <conditionalFormatting sqref="I7:I242">
    <cfRule type="containsText" priority="7" operator="containsText" dxfId="3" text="Review">
      <formula>NOT(ISERROR(SEARCH("Review",I7)))</formula>
    </cfRule>
  </conditionalFormatting>
  <conditionalFormatting sqref="B7:B242">
    <cfRule type="cellIs" priority="8" operator="equal" dxfId="4" stopIfTrue="1">
      <formula>"To confirm"</formula>
    </cfRule>
  </conditionalFormatting>
  <conditionalFormatting sqref="E7:E242">
    <cfRule type="expression" priority="9" dxfId="5">
      <formula>LEN(E7)&gt;5</formula>
    </cfRule>
  </conditionalFormatting>
  <conditionalFormatting sqref="C7:C242">
    <cfRule type="cellIs" priority="10" operator="notEqual" dxfId="6">
      <formula>""</formula>
    </cfRule>
  </conditionalFormatting>
  <dataValidations count="7">
    <dataValidation sqref="D7:D242" showDropDown="0" showInputMessage="0" showErrorMessage="0" allowBlank="1" errorTitle="Not a choice" error="Yes or No" promptTitle="Hosted" prompt="Hosted by us?" type="list">
      <formula1>"Yes,No"</formula1>
    </dataValidation>
    <dataValidation sqref="F7:F242" showDropDown="0" showInputMessage="0" showErrorMessage="0" allowBlank="0" type="decimal" operator="between">
      <formula1>0</formula1>
      <formula2>100000</formula2>
    </dataValidation>
    <dataValidation sqref="G7:G242" showDropDown="0" showInputMessage="0" showErrorMessage="0" allowBlank="0" type="date" operator="greaterThan">
      <formula1>DATE(2020,1,1)</formula1>
    </dataValidation>
    <dataValidation sqref="I7:I242" showDropDown="0" showInputMessage="0" showErrorMessage="1" allowBlank="0" type="textLength" errorStyle="warning" operator="lessThanOrEqual">
      <formula1>200</formula1>
    </dataValidation>
    <dataValidation sqref="E7:E242" showDropDown="0" showInputMessage="0" showErrorMessage="0" allowBlank="0" type="list">
      <formula1>Lists!$A$1:$A$5</formula1>
    </dataValidation>
    <dataValidation sqref="H7:H20 H30:H40" showDropDown="0" showInputMessage="0" showErrorMessage="0" allowBlank="0" type="whole" operator="between">
      <formula1>0</formula1>
      <formula2>10</formula2>
    </dataValidation>
    <dataValidation sqref="A7:A242" showDropDown="0" showInputMessage="0" showErrorMessage="0" allowBlank="0" type="custom">
      <formula1>LEN(A7)&gt;0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1</t>
        </is>
      </c>
      <c r="B1" t="n">
        <v>3</v>
      </c>
      <c r="C1">
        <f>B1*2</f>
        <v/>
      </c>
      <c r="D1">
        <f>SUM($B$1:B1)</f>
        <v/>
      </c>
    </row>
    <row r="2">
      <c r="A2" t="inlineStr">
        <is>
          <t>Item 2</t>
        </is>
      </c>
      <c r="B2" t="n">
        <v>6</v>
      </c>
      <c r="C2">
        <f>B2*2</f>
        <v/>
      </c>
      <c r="D2">
        <f>SUM($B$1:B2)</f>
        <v/>
      </c>
    </row>
    <row r="3">
      <c r="A3" t="inlineStr">
        <is>
          <t>Item 3</t>
        </is>
      </c>
      <c r="B3" t="n">
        <v>9</v>
      </c>
      <c r="C3">
        <f>B3*2</f>
        <v/>
      </c>
      <c r="D3">
        <f>SUM($B$1:B3)</f>
        <v/>
      </c>
    </row>
    <row r="4">
      <c r="A4" t="inlineStr">
        <is>
          <t>Item 4</t>
        </is>
      </c>
      <c r="B4" t="n">
        <v>12</v>
      </c>
      <c r="C4">
        <f>B4*2</f>
        <v/>
      </c>
      <c r="D4">
        <f>SUM($B$1:B4)</f>
        <v/>
      </c>
    </row>
    <row r="5">
      <c r="A5" t="inlineStr">
        <is>
          <t>Item 5</t>
        </is>
      </c>
      <c r="B5" t="n">
        <v>15</v>
      </c>
      <c r="C5">
        <f>B5*2</f>
        <v/>
      </c>
      <c r="D5">
        <f>SUM($B$1:B5)</f>
        <v/>
      </c>
    </row>
    <row r="6">
      <c r="A6" t="inlineStr">
        <is>
          <t>Item 6</t>
        </is>
      </c>
      <c r="B6" t="n">
        <v>18</v>
      </c>
      <c r="C6">
        <f>B6*2</f>
        <v/>
      </c>
      <c r="D6">
        <f>SUM($B$1:B6)</f>
        <v/>
      </c>
    </row>
    <row r="7">
      <c r="A7" t="inlineStr">
        <is>
          <t>Item 7</t>
        </is>
      </c>
      <c r="B7" t="n">
        <v>21</v>
      </c>
      <c r="C7">
        <f>B7*2</f>
        <v/>
      </c>
      <c r="D7">
        <f>SUM($B$1:B7)</f>
        <v/>
      </c>
    </row>
    <row r="8">
      <c r="A8" t="inlineStr">
        <is>
          <t>Item 8</t>
        </is>
      </c>
      <c r="B8" t="n">
        <v>24</v>
      </c>
      <c r="C8">
        <f>B8*2</f>
        <v/>
      </c>
      <c r="D8">
        <f>SUM($B$1:B8)</f>
        <v/>
      </c>
    </row>
    <row r="9">
      <c r="A9" t="inlineStr">
        <is>
          <t>Item 9</t>
        </is>
      </c>
      <c r="B9" t="n">
        <v>27</v>
      </c>
      <c r="C9">
        <f>B9*2</f>
        <v/>
      </c>
      <c r="D9">
        <f>SUM($B$1:B9)</f>
        <v/>
      </c>
    </row>
    <row r="10">
      <c r="A10" t="inlineStr">
        <is>
          <t>Item 10</t>
        </is>
      </c>
      <c r="B10" t="n">
        <v>30</v>
      </c>
      <c r="C10">
        <f>B10*2</f>
        <v/>
      </c>
      <c r="D10">
        <f>SUM($B$1:B10)</f>
        <v/>
      </c>
    </row>
    <row r="11">
      <c r="A11" t="inlineStr">
        <is>
          <t>Item 11</t>
        </is>
      </c>
      <c r="B11" t="n">
        <v>33</v>
      </c>
      <c r="C11">
        <f>B11*2</f>
        <v/>
      </c>
      <c r="D11">
        <f>SUM($B$1:B11)</f>
        <v/>
      </c>
    </row>
    <row r="12">
      <c r="A12" t="inlineStr">
        <is>
          <t>Item 12</t>
        </is>
      </c>
      <c r="B12" t="n">
        <v>36</v>
      </c>
      <c r="C12">
        <f>B12*2</f>
        <v/>
      </c>
      <c r="D12">
        <f>SUM($B$1:B12)</f>
        <v/>
      </c>
    </row>
    <row r="13">
      <c r="A13" t="inlineStr">
        <is>
          <t>Item 13</t>
        </is>
      </c>
      <c r="B13" t="n">
        <v>39</v>
      </c>
      <c r="C13">
        <f>B13*2</f>
        <v/>
      </c>
      <c r="D13">
        <f>SUM($B$1:B13)</f>
        <v/>
      </c>
    </row>
    <row r="14">
      <c r="A14" t="inlineStr">
        <is>
          <t>Item 14</t>
        </is>
      </c>
      <c r="B14" t="n">
        <v>42</v>
      </c>
      <c r="C14">
        <f>B14*2</f>
        <v/>
      </c>
      <c r="D14">
        <f>SUM($B$1:B14)</f>
        <v/>
      </c>
    </row>
    <row r="15">
      <c r="A15" t="inlineStr">
        <is>
          <t>Item 15</t>
        </is>
      </c>
      <c r="B15" t="n">
        <v>45</v>
      </c>
      <c r="C15">
        <f>B15*2</f>
        <v/>
      </c>
      <c r="D15">
        <f>SUM($B$1:B15)</f>
        <v/>
      </c>
    </row>
    <row r="16">
      <c r="A16" t="inlineStr">
        <is>
          <t>Item 16</t>
        </is>
      </c>
      <c r="B16" t="n">
        <v>48</v>
      </c>
      <c r="C16">
        <f>B16*2</f>
        <v/>
      </c>
      <c r="D16">
        <f>SUM($B$1:B16)</f>
        <v/>
      </c>
    </row>
    <row r="17">
      <c r="A17" t="inlineStr">
        <is>
          <t>Item 17</t>
        </is>
      </c>
      <c r="B17" t="n">
        <v>51</v>
      </c>
      <c r="C17">
        <f>B17*2</f>
        <v/>
      </c>
      <c r="D17">
        <f>SUM($B$1:B17)</f>
        <v/>
      </c>
    </row>
    <row r="18">
      <c r="A18" t="inlineStr">
        <is>
          <t>Item 18</t>
        </is>
      </c>
      <c r="B18" t="n">
        <v>54</v>
      </c>
      <c r="C18">
        <f>B18*2</f>
        <v/>
      </c>
      <c r="D18">
        <f>SUM($B$1:B18)</f>
        <v/>
      </c>
    </row>
    <row r="19">
      <c r="A19" t="inlineStr">
        <is>
          <t>Item 19</t>
        </is>
      </c>
      <c r="B19" t="n">
        <v>57</v>
      </c>
      <c r="C19">
        <f>B19*2</f>
        <v/>
      </c>
      <c r="D19">
        <f>SUM($B$1:B19)</f>
        <v/>
      </c>
    </row>
    <row r="20">
      <c r="A20" t="inlineStr">
        <is>
          <t>Item 20</t>
        </is>
      </c>
      <c r="B20" t="n">
        <v>60</v>
      </c>
      <c r="C20">
        <f>B20*2</f>
        <v/>
      </c>
      <c r="D20">
        <f>SUM($B$1:B20)</f>
        <v/>
      </c>
    </row>
    <row r="21">
      <c r="A21" t="inlineStr">
        <is>
          <t>Item 21</t>
        </is>
      </c>
      <c r="B21" t="n">
        <v>63</v>
      </c>
      <c r="C21">
        <f>B21*2</f>
        <v/>
      </c>
      <c r="D21">
        <f>SUM($B$1:B21)</f>
        <v/>
      </c>
    </row>
    <row r="22">
      <c r="A22" t="inlineStr">
        <is>
          <t>Item 22</t>
        </is>
      </c>
      <c r="B22" t="n">
        <v>66</v>
      </c>
      <c r="C22">
        <f>B22*2</f>
        <v/>
      </c>
      <c r="D22">
        <f>SUM($B$1:B22)</f>
        <v/>
      </c>
    </row>
    <row r="23">
      <c r="A23" t="inlineStr">
        <is>
          <t>Item 23</t>
        </is>
      </c>
      <c r="B23" t="n">
        <v>69</v>
      </c>
      <c r="C23">
        <f>B23*2</f>
        <v/>
      </c>
      <c r="D23">
        <f>SUM($B$1:B23)</f>
        <v/>
      </c>
    </row>
    <row r="24">
      <c r="A24" t="inlineStr">
        <is>
          <t>Item 24</t>
        </is>
      </c>
      <c r="B24" t="n">
        <v>72</v>
      </c>
      <c r="C24">
        <f>B24*2</f>
        <v/>
      </c>
      <c r="D24">
        <f>SUM($B$1:B24)</f>
        <v/>
      </c>
    </row>
    <row r="25">
      <c r="A25" t="inlineStr">
        <is>
          <t>Item 25</t>
        </is>
      </c>
      <c r="B25" t="n">
        <v>75</v>
      </c>
      <c r="C25">
        <f>B25*2</f>
        <v/>
      </c>
      <c r="D25">
        <f>SUM($B$1:B25)</f>
        <v/>
      </c>
    </row>
    <row r="26">
      <c r="A26" t="inlineStr">
        <is>
          <t>Item 26</t>
        </is>
      </c>
      <c r="B26" t="n">
        <v>78</v>
      </c>
      <c r="C26">
        <f>B26*2</f>
        <v/>
      </c>
      <c r="D26">
        <f>SUM($B$1:B26)</f>
        <v/>
      </c>
    </row>
    <row r="27">
      <c r="A27" t="inlineStr">
        <is>
          <t>Item 27</t>
        </is>
      </c>
      <c r="B27" t="n">
        <v>81</v>
      </c>
      <c r="C27">
        <f>B27*2</f>
        <v/>
      </c>
      <c r="D27">
        <f>SUM($B$1:B27)</f>
        <v/>
      </c>
    </row>
    <row r="28">
      <c r="A28" t="inlineStr">
        <is>
          <t>Item 28</t>
        </is>
      </c>
      <c r="B28" t="n">
        <v>84</v>
      </c>
      <c r="C28">
        <f>B28*2</f>
        <v/>
      </c>
      <c r="D28">
        <f>SUM($B$1:B28)</f>
        <v/>
      </c>
    </row>
    <row r="29">
      <c r="A29" t="inlineStr">
        <is>
          <t>Item 29</t>
        </is>
      </c>
      <c r="B29" t="n">
        <v>87</v>
      </c>
      <c r="C29">
        <f>B29*2</f>
        <v/>
      </c>
      <c r="D29">
        <f>SUM($B$1:B29)</f>
        <v/>
      </c>
    </row>
    <row r="30">
      <c r="A30" t="inlineStr">
        <is>
          <t>Item 30</t>
        </is>
      </c>
      <c r="B30" t="n">
        <v>90</v>
      </c>
      <c r="C30">
        <f>B30*2</f>
        <v/>
      </c>
      <c r="D30">
        <f>SUM($B$1:B30)</f>
        <v/>
      </c>
    </row>
    <row r="31">
      <c r="A31" t="inlineStr">
        <is>
          <t>Item 31</t>
        </is>
      </c>
      <c r="B31" t="n">
        <v>93</v>
      </c>
      <c r="C31">
        <f>B31*2</f>
        <v/>
      </c>
      <c r="D31">
        <f>SUM($B$1:B31)</f>
        <v/>
      </c>
    </row>
    <row r="32">
      <c r="A32" t="inlineStr">
        <is>
          <t>Item 32</t>
        </is>
      </c>
      <c r="B32" t="n">
        <v>96</v>
      </c>
      <c r="C32">
        <f>B32*2</f>
        <v/>
      </c>
      <c r="D32">
        <f>SUM($B$1:B32)</f>
        <v/>
      </c>
    </row>
    <row r="33">
      <c r="A33" t="inlineStr">
        <is>
          <t>Item 33</t>
        </is>
      </c>
      <c r="B33" t="n">
        <v>99</v>
      </c>
      <c r="C33">
        <f>B33*2</f>
        <v/>
      </c>
      <c r="D33">
        <f>SUM($B$1:B33)</f>
        <v/>
      </c>
    </row>
    <row r="34">
      <c r="A34" t="inlineStr">
        <is>
          <t>Item 34</t>
        </is>
      </c>
      <c r="B34" t="n">
        <v>102</v>
      </c>
      <c r="C34">
        <f>B34*2</f>
        <v/>
      </c>
      <c r="D34">
        <f>SUM($B$1:B34)</f>
        <v/>
      </c>
    </row>
    <row r="35">
      <c r="A35" t="inlineStr">
        <is>
          <t>Item 35</t>
        </is>
      </c>
      <c r="B35" t="n">
        <v>105</v>
      </c>
      <c r="C35">
        <f>B35*2</f>
        <v/>
      </c>
      <c r="D35">
        <f>SUM($B$1:B35)</f>
        <v/>
      </c>
    </row>
    <row r="36">
      <c r="A36" t="inlineStr">
        <is>
          <t>Item 36</t>
        </is>
      </c>
      <c r="B36" t="n">
        <v>108</v>
      </c>
      <c r="C36">
        <f>B36*2</f>
        <v/>
      </c>
      <c r="D36">
        <f>SUM($B$1:B36)</f>
        <v/>
      </c>
    </row>
    <row r="37">
      <c r="A37" t="inlineStr">
        <is>
          <t>Item 37</t>
        </is>
      </c>
      <c r="B37" t="n">
        <v>111</v>
      </c>
      <c r="C37">
        <f>B37*2</f>
        <v/>
      </c>
      <c r="D37">
        <f>SUM($B$1:B37)</f>
        <v/>
      </c>
    </row>
    <row r="38">
      <c r="A38" t="inlineStr">
        <is>
          <t>Item 38</t>
        </is>
      </c>
      <c r="B38" t="n">
        <v>114</v>
      </c>
      <c r="C38">
        <f>B38*2</f>
        <v/>
      </c>
      <c r="D38">
        <f>SUM($B$1:B38)</f>
        <v/>
      </c>
    </row>
    <row r="39">
      <c r="A39" t="inlineStr">
        <is>
          <t>Item 39</t>
        </is>
      </c>
      <c r="B39" t="n">
        <v>117</v>
      </c>
      <c r="C39">
        <f>B39*2</f>
        <v/>
      </c>
      <c r="D39">
        <f>SUM($B$1:B39)</f>
        <v/>
      </c>
    </row>
    <row r="40">
      <c r="A40" t="inlineStr">
        <is>
          <t>Item 40</t>
        </is>
      </c>
      <c r="B40" t="n">
        <v>120</v>
      </c>
      <c r="C40">
        <f>B40*2</f>
        <v/>
      </c>
      <c r="D40">
        <f>SUM($B$1:B40)</f>
        <v/>
      </c>
    </row>
    <row r="41">
      <c r="A41" t="inlineStr">
        <is>
          <t>Item 41</t>
        </is>
      </c>
      <c r="B41" t="n">
        <v>123</v>
      </c>
      <c r="C41">
        <f>B41*2</f>
        <v/>
      </c>
      <c r="D41">
        <f>SUM($B$1:B41)</f>
        <v/>
      </c>
    </row>
    <row r="42">
      <c r="A42" t="inlineStr">
        <is>
          <t>Item 42</t>
        </is>
      </c>
      <c r="B42" t="n">
        <v>126</v>
      </c>
      <c r="C42">
        <f>B42*2</f>
        <v/>
      </c>
      <c r="D42">
        <f>SUM($B$1:B42)</f>
        <v/>
      </c>
    </row>
    <row r="43">
      <c r="A43" t="inlineStr">
        <is>
          <t>Item 43</t>
        </is>
      </c>
      <c r="B43" t="n">
        <v>129</v>
      </c>
      <c r="C43">
        <f>B43*2</f>
        <v/>
      </c>
      <c r="D43">
        <f>SUM($B$1:B43)</f>
        <v/>
      </c>
    </row>
    <row r="44">
      <c r="A44" t="inlineStr">
        <is>
          <t>Item 44</t>
        </is>
      </c>
      <c r="B44" t="n">
        <v>132</v>
      </c>
      <c r="C44">
        <f>B44*2</f>
        <v/>
      </c>
      <c r="D44">
        <f>SUM($B$1:B44)</f>
        <v/>
      </c>
    </row>
    <row r="45">
      <c r="A45" t="inlineStr">
        <is>
          <t>Item 45</t>
        </is>
      </c>
      <c r="B45" t="n">
        <v>135</v>
      </c>
      <c r="C45">
        <f>B45*2</f>
        <v/>
      </c>
      <c r="D45">
        <f>SUM($B$1:B45)</f>
        <v/>
      </c>
    </row>
    <row r="46">
      <c r="A46" t="inlineStr">
        <is>
          <t>Item 46</t>
        </is>
      </c>
      <c r="B46" t="n">
        <v>138</v>
      </c>
      <c r="C46">
        <f>B46*2</f>
        <v/>
      </c>
      <c r="D46">
        <f>SUM($B$1:B46)</f>
        <v/>
      </c>
    </row>
    <row r="47">
      <c r="A47" t="inlineStr">
        <is>
          <t>Item 47</t>
        </is>
      </c>
      <c r="B47" t="n">
        <v>141</v>
      </c>
      <c r="C47">
        <f>B47*2</f>
        <v/>
      </c>
      <c r="D47">
        <f>SUM($B$1:B47)</f>
        <v/>
      </c>
    </row>
    <row r="48">
      <c r="A48" t="inlineStr">
        <is>
          <t>Item 48</t>
        </is>
      </c>
      <c r="B48" t="n">
        <v>144</v>
      </c>
      <c r="C48">
        <f>B48*2</f>
        <v/>
      </c>
      <c r="D48">
        <f>SUM($B$1:B48)</f>
        <v/>
      </c>
    </row>
    <row r="49">
      <c r="A49" t="inlineStr">
        <is>
          <t>Item 49</t>
        </is>
      </c>
      <c r="B49" t="n">
        <v>147</v>
      </c>
      <c r="C49">
        <f>B49*2</f>
        <v/>
      </c>
      <c r="D49">
        <f>SUM($B$1:B49)</f>
        <v/>
      </c>
    </row>
    <row r="50">
      <c r="A50" t="inlineStr">
        <is>
          <t>Item 50</t>
        </is>
      </c>
      <c r="B50" t="n">
        <v>150</v>
      </c>
      <c r="C50">
        <f>B50*2</f>
        <v/>
      </c>
      <c r="D50">
        <f>SUM($B$1:B50)</f>
        <v/>
      </c>
    </row>
    <row r="51">
      <c r="A51" t="inlineStr">
        <is>
          <t>Item 51</t>
        </is>
      </c>
      <c r="B51" t="n">
        <v>153</v>
      </c>
      <c r="C51">
        <f>B51*2</f>
        <v/>
      </c>
      <c r="D51">
        <f>SUM($B$1:B51)</f>
        <v/>
      </c>
    </row>
    <row r="52">
      <c r="A52" t="inlineStr">
        <is>
          <t>Item 52</t>
        </is>
      </c>
      <c r="B52" t="n">
        <v>156</v>
      </c>
      <c r="C52">
        <f>B52*2</f>
        <v/>
      </c>
      <c r="D52">
        <f>SUM($B$1:B52)</f>
        <v/>
      </c>
    </row>
    <row r="53">
      <c r="A53" t="inlineStr">
        <is>
          <t>Item 53</t>
        </is>
      </c>
      <c r="B53" t="n">
        <v>159</v>
      </c>
      <c r="C53">
        <f>B53*2</f>
        <v/>
      </c>
      <c r="D53">
        <f>SUM($B$1:B53)</f>
        <v/>
      </c>
    </row>
    <row r="54">
      <c r="A54" t="inlineStr">
        <is>
          <t>Item 54</t>
        </is>
      </c>
      <c r="B54" t="n">
        <v>162</v>
      </c>
      <c r="C54">
        <f>B54*2</f>
        <v/>
      </c>
      <c r="D54">
        <f>SUM($B$1:B54)</f>
        <v/>
      </c>
    </row>
    <row r="55">
      <c r="A55" t="inlineStr">
        <is>
          <t>Item 55</t>
        </is>
      </c>
      <c r="B55" t="n">
        <v>165</v>
      </c>
      <c r="C55">
        <f>B55*2</f>
        <v/>
      </c>
      <c r="D55">
        <f>SUM($B$1:B55)</f>
        <v/>
      </c>
    </row>
    <row r="56">
      <c r="A56" t="inlineStr">
        <is>
          <t>Item 56</t>
        </is>
      </c>
      <c r="B56" t="n">
        <v>168</v>
      </c>
      <c r="C56">
        <f>B56*2</f>
        <v/>
      </c>
      <c r="D56">
        <f>SUM($B$1:B56)</f>
        <v/>
      </c>
    </row>
    <row r="57">
      <c r="A57" t="inlineStr">
        <is>
          <t>Item 57</t>
        </is>
      </c>
      <c r="B57" t="n">
        <v>171</v>
      </c>
      <c r="C57">
        <f>B57*2</f>
        <v/>
      </c>
      <c r="D57">
        <f>SUM($B$1:B57)</f>
        <v/>
      </c>
    </row>
    <row r="58">
      <c r="A58" t="inlineStr">
        <is>
          <t>Item 58</t>
        </is>
      </c>
      <c r="B58" t="n">
        <v>174</v>
      </c>
      <c r="C58">
        <f>B58*2</f>
        <v/>
      </c>
      <c r="D58">
        <f>SUM($B$1:B58)</f>
        <v/>
      </c>
    </row>
    <row r="59">
      <c r="A59" t="inlineStr">
        <is>
          <t>Item 59</t>
        </is>
      </c>
      <c r="B59" t="n">
        <v>177</v>
      </c>
      <c r="C59">
        <f>B59*2</f>
        <v/>
      </c>
      <c r="D59">
        <f>SUM($B$1:B59)</f>
        <v/>
      </c>
    </row>
    <row r="60">
      <c r="A60" t="inlineStr">
        <is>
          <t>Item 60</t>
        </is>
      </c>
      <c r="B60" t="n">
        <v>180</v>
      </c>
      <c r="C60">
        <f>B60*2</f>
        <v/>
      </c>
      <c r="D60">
        <f>SUM($B$1:B60)</f>
        <v/>
      </c>
    </row>
    <row r="61">
      <c r="A61" t="inlineStr">
        <is>
          <t>Item 61</t>
        </is>
      </c>
      <c r="B61" t="n">
        <v>183</v>
      </c>
      <c r="C61">
        <f>B61*2</f>
        <v/>
      </c>
      <c r="D61">
        <f>SUM($B$1:B61)</f>
        <v/>
      </c>
    </row>
    <row r="62">
      <c r="A62" t="inlineStr">
        <is>
          <t>Item 62</t>
        </is>
      </c>
      <c r="B62" t="n">
        <v>186</v>
      </c>
      <c r="C62">
        <f>B62*2</f>
        <v/>
      </c>
      <c r="D62">
        <f>SUM($B$1:B62)</f>
        <v/>
      </c>
    </row>
    <row r="63">
      <c r="A63" t="inlineStr">
        <is>
          <t>Item 63</t>
        </is>
      </c>
      <c r="B63" t="n">
        <v>189</v>
      </c>
      <c r="C63">
        <f>B63*2</f>
        <v/>
      </c>
      <c r="D63">
        <f>SUM($B$1:B63)</f>
        <v/>
      </c>
    </row>
    <row r="64">
      <c r="A64" t="inlineStr">
        <is>
          <t>Item 64</t>
        </is>
      </c>
      <c r="B64" t="n">
        <v>192</v>
      </c>
      <c r="C64">
        <f>B64*2</f>
        <v/>
      </c>
      <c r="D64">
        <f>SUM($B$1:B64)</f>
        <v/>
      </c>
    </row>
    <row r="65">
      <c r="A65" t="inlineStr">
        <is>
          <t>Item 65</t>
        </is>
      </c>
      <c r="B65" t="n">
        <v>195</v>
      </c>
      <c r="C65">
        <f>B65*2</f>
        <v/>
      </c>
      <c r="D65">
        <f>SUM($B$1:B65)</f>
        <v/>
      </c>
    </row>
    <row r="66">
      <c r="A66" t="inlineStr">
        <is>
          <t>Item 66</t>
        </is>
      </c>
      <c r="B66" t="n">
        <v>198</v>
      </c>
      <c r="C66">
        <f>B66*2</f>
        <v/>
      </c>
      <c r="D66">
        <f>SUM($B$1:B66)</f>
        <v/>
      </c>
    </row>
    <row r="67">
      <c r="A67" t="inlineStr">
        <is>
          <t>Item 67</t>
        </is>
      </c>
      <c r="B67" t="n">
        <v>201</v>
      </c>
      <c r="C67">
        <f>B67*2</f>
        <v/>
      </c>
      <c r="D67">
        <f>SUM($B$1:B67)</f>
        <v/>
      </c>
    </row>
    <row r="68">
      <c r="A68" t="inlineStr">
        <is>
          <t>Item 68</t>
        </is>
      </c>
      <c r="B68" t="n">
        <v>204</v>
      </c>
      <c r="C68">
        <f>B68*2</f>
        <v/>
      </c>
      <c r="D68">
        <f>SUM($B$1:B68)</f>
        <v/>
      </c>
    </row>
    <row r="69">
      <c r="A69" t="inlineStr">
        <is>
          <t>Item 69</t>
        </is>
      </c>
      <c r="B69" t="n">
        <v>207</v>
      </c>
      <c r="C69">
        <f>B69*2</f>
        <v/>
      </c>
      <c r="D69">
        <f>SUM($B$1:B69)</f>
        <v/>
      </c>
    </row>
    <row r="70">
      <c r="A70" t="inlineStr">
        <is>
          <t>Item 70</t>
        </is>
      </c>
      <c r="B70" t="n">
        <v>210</v>
      </c>
      <c r="C70">
        <f>B70*2</f>
        <v/>
      </c>
      <c r="D70">
        <f>SUM($B$1:B70)</f>
        <v/>
      </c>
    </row>
    <row r="71">
      <c r="A71" t="inlineStr">
        <is>
          <t>Item 71</t>
        </is>
      </c>
      <c r="B71" t="n">
        <v>213</v>
      </c>
      <c r="C71">
        <f>B71*2</f>
        <v/>
      </c>
      <c r="D71">
        <f>SUM($B$1:B71)</f>
        <v/>
      </c>
    </row>
    <row r="72">
      <c r="A72" t="inlineStr">
        <is>
          <t>Item 72</t>
        </is>
      </c>
      <c r="B72" t="n">
        <v>216</v>
      </c>
      <c r="C72">
        <f>B72*2</f>
        <v/>
      </c>
      <c r="D72">
        <f>SUM($B$1:B72)</f>
        <v/>
      </c>
    </row>
    <row r="73">
      <c r="A73" t="inlineStr">
        <is>
          <t>Item 73</t>
        </is>
      </c>
      <c r="B73" t="n">
        <v>219</v>
      </c>
      <c r="C73">
        <f>B73*2</f>
        <v/>
      </c>
      <c r="D73">
        <f>SUM($B$1:B73)</f>
        <v/>
      </c>
    </row>
    <row r="74">
      <c r="A74" t="inlineStr">
        <is>
          <t>Item 74</t>
        </is>
      </c>
      <c r="B74" t="n">
        <v>222</v>
      </c>
      <c r="C74">
        <f>B74*2</f>
        <v/>
      </c>
      <c r="D74">
        <f>SUM($B$1:B74)</f>
        <v/>
      </c>
    </row>
    <row r="75">
      <c r="A75" t="inlineStr">
        <is>
          <t>Item 75</t>
        </is>
      </c>
      <c r="B75" t="n">
        <v>225</v>
      </c>
      <c r="C75">
        <f>B75*2</f>
        <v/>
      </c>
      <c r="D75">
        <f>SUM($B$1:B75)</f>
        <v/>
      </c>
    </row>
    <row r="76">
      <c r="A76" t="inlineStr">
        <is>
          <t>Item 76</t>
        </is>
      </c>
      <c r="B76" t="n">
        <v>228</v>
      </c>
      <c r="C76">
        <f>B76*2</f>
        <v/>
      </c>
      <c r="D76">
        <f>SUM($B$1:B76)</f>
        <v/>
      </c>
    </row>
    <row r="77">
      <c r="A77" t="inlineStr">
        <is>
          <t>Item 77</t>
        </is>
      </c>
      <c r="B77" t="n">
        <v>231</v>
      </c>
      <c r="C77">
        <f>B77*2</f>
        <v/>
      </c>
      <c r="D77">
        <f>SUM($B$1:B77)</f>
        <v/>
      </c>
    </row>
    <row r="78">
      <c r="A78" t="inlineStr">
        <is>
          <t>Item 78</t>
        </is>
      </c>
      <c r="B78" t="n">
        <v>234</v>
      </c>
      <c r="C78">
        <f>B78*2</f>
        <v/>
      </c>
      <c r="D78">
        <f>SUM($B$1:B78)</f>
        <v/>
      </c>
    </row>
    <row r="79">
      <c r="A79" t="inlineStr">
        <is>
          <t>Item 79</t>
        </is>
      </c>
      <c r="B79" t="n">
        <v>237</v>
      </c>
      <c r="C79">
        <f>B79*2</f>
        <v/>
      </c>
      <c r="D79">
        <f>SUM($B$1:B79)</f>
        <v/>
      </c>
    </row>
    <row r="80">
      <c r="A80" t="inlineStr">
        <is>
          <t>Item 80</t>
        </is>
      </c>
      <c r="B80" t="n">
        <v>240</v>
      </c>
      <c r="C80">
        <f>B80*2</f>
        <v/>
      </c>
      <c r="D80">
        <f>SUM($B$1:B80)</f>
        <v/>
      </c>
    </row>
    <row r="81">
      <c r="A81" t="inlineStr">
        <is>
          <t>Item 81</t>
        </is>
      </c>
      <c r="B81" t="n">
        <v>243</v>
      </c>
      <c r="C81">
        <f>B81*2</f>
        <v/>
      </c>
      <c r="D81">
        <f>SUM($B$1:B81)</f>
        <v/>
      </c>
    </row>
    <row r="82">
      <c r="A82" t="inlineStr">
        <is>
          <t>Item 82</t>
        </is>
      </c>
      <c r="B82" t="n">
        <v>246</v>
      </c>
      <c r="C82">
        <f>B82*2</f>
        <v/>
      </c>
      <c r="D82">
        <f>SUM($B$1:B82)</f>
        <v/>
      </c>
    </row>
    <row r="83">
      <c r="A83" t="inlineStr">
        <is>
          <t>Item 83</t>
        </is>
      </c>
      <c r="B83" t="n">
        <v>249</v>
      </c>
      <c r="C83">
        <f>B83*2</f>
        <v/>
      </c>
      <c r="D83">
        <f>SUM($B$1:B83)</f>
        <v/>
      </c>
    </row>
    <row r="84">
      <c r="A84" t="inlineStr">
        <is>
          <t>Item 84</t>
        </is>
      </c>
      <c r="B84" t="n">
        <v>252</v>
      </c>
      <c r="C84">
        <f>B84*2</f>
        <v/>
      </c>
      <c r="D84">
        <f>SUM($B$1:B84)</f>
        <v/>
      </c>
    </row>
    <row r="85">
      <c r="A85" t="inlineStr">
        <is>
          <t>Item 85</t>
        </is>
      </c>
      <c r="B85" t="n">
        <v>255</v>
      </c>
      <c r="C85">
        <f>B85*2</f>
        <v/>
      </c>
      <c r="D85">
        <f>SUM($B$1:B85)</f>
        <v/>
      </c>
    </row>
    <row r="86">
      <c r="A86" t="inlineStr">
        <is>
          <t>Item 86</t>
        </is>
      </c>
      <c r="B86" t="n">
        <v>258</v>
      </c>
      <c r="C86">
        <f>B86*2</f>
        <v/>
      </c>
      <c r="D86">
        <f>SUM($B$1:B86)</f>
        <v/>
      </c>
    </row>
    <row r="87">
      <c r="A87" t="inlineStr">
        <is>
          <t>Item 87</t>
        </is>
      </c>
      <c r="B87" t="n">
        <v>261</v>
      </c>
      <c r="C87">
        <f>B87*2</f>
        <v/>
      </c>
      <c r="D87">
        <f>SUM($B$1:B87)</f>
        <v/>
      </c>
    </row>
    <row r="88">
      <c r="A88" t="inlineStr">
        <is>
          <t>Item 88</t>
        </is>
      </c>
      <c r="B88" t="n">
        <v>264</v>
      </c>
      <c r="C88">
        <f>B88*2</f>
        <v/>
      </c>
      <c r="D88">
        <f>SUM($B$1:B88)</f>
        <v/>
      </c>
    </row>
    <row r="89">
      <c r="A89" t="inlineStr">
        <is>
          <t>Item 89</t>
        </is>
      </c>
      <c r="B89" t="n">
        <v>267</v>
      </c>
      <c r="C89">
        <f>B89*2</f>
        <v/>
      </c>
      <c r="D89">
        <f>SUM($B$1:B89)</f>
        <v/>
      </c>
    </row>
    <row r="90">
      <c r="A90" t="inlineStr">
        <is>
          <t>Item 90</t>
        </is>
      </c>
      <c r="B90" t="n">
        <v>270</v>
      </c>
      <c r="C90">
        <f>B90*2</f>
        <v/>
      </c>
      <c r="D90">
        <f>SUM($B$1:B90)</f>
        <v/>
      </c>
    </row>
    <row r="91">
      <c r="A91" t="inlineStr">
        <is>
          <t>Item 91</t>
        </is>
      </c>
      <c r="B91" t="n">
        <v>273</v>
      </c>
      <c r="C91">
        <f>B91*2</f>
        <v/>
      </c>
      <c r="D91">
        <f>SUM($B$1:B91)</f>
        <v/>
      </c>
    </row>
    <row r="92">
      <c r="A92" t="inlineStr">
        <is>
          <t>Item 92</t>
        </is>
      </c>
      <c r="B92" t="n">
        <v>276</v>
      </c>
      <c r="C92">
        <f>B92*2</f>
        <v/>
      </c>
      <c r="D92">
        <f>SUM($B$1:B92)</f>
        <v/>
      </c>
    </row>
    <row r="93">
      <c r="A93" t="inlineStr">
        <is>
          <t>Item 93</t>
        </is>
      </c>
      <c r="B93" t="n">
        <v>279</v>
      </c>
      <c r="C93">
        <f>B93*2</f>
        <v/>
      </c>
      <c r="D93">
        <f>SUM($B$1:B93)</f>
        <v/>
      </c>
    </row>
    <row r="94">
      <c r="A94" t="inlineStr">
        <is>
          <t>Item 94</t>
        </is>
      </c>
      <c r="B94" t="n">
        <v>282</v>
      </c>
      <c r="C94">
        <f>B94*2</f>
        <v/>
      </c>
      <c r="D94">
        <f>SUM($B$1:B94)</f>
        <v/>
      </c>
    </row>
    <row r="95">
      <c r="A95" t="inlineStr">
        <is>
          <t>Item 95</t>
        </is>
      </c>
      <c r="B95" t="n">
        <v>285</v>
      </c>
      <c r="C95">
        <f>B95*2</f>
        <v/>
      </c>
      <c r="D95">
        <f>SUM($B$1:B95)</f>
        <v/>
      </c>
    </row>
    <row r="96">
      <c r="A96" t="inlineStr">
        <is>
          <t>Item 96</t>
        </is>
      </c>
      <c r="B96" t="n">
        <v>288</v>
      </c>
      <c r="C96">
        <f>B96*2</f>
        <v/>
      </c>
      <c r="D96">
        <f>SUM($B$1:B96)</f>
        <v/>
      </c>
    </row>
    <row r="97">
      <c r="A97" t="inlineStr">
        <is>
          <t>Item 97</t>
        </is>
      </c>
      <c r="B97" t="n">
        <v>291</v>
      </c>
      <c r="C97">
        <f>B97*2</f>
        <v/>
      </c>
      <c r="D97">
        <f>SUM($B$1:B97)</f>
        <v/>
      </c>
    </row>
    <row r="98">
      <c r="A98" t="inlineStr">
        <is>
          <t>Item 98</t>
        </is>
      </c>
      <c r="B98" t="n">
        <v>294</v>
      </c>
      <c r="C98">
        <f>B98*2</f>
        <v/>
      </c>
      <c r="D98">
        <f>SUM($B$1:B98)</f>
        <v/>
      </c>
    </row>
    <row r="99">
      <c r="A99" t="inlineStr">
        <is>
          <t>Item 99</t>
        </is>
      </c>
      <c r="B99" t="n">
        <v>297</v>
      </c>
      <c r="C99">
        <f>B99*2</f>
        <v/>
      </c>
      <c r="D99">
        <f>SUM($B$1:B99)</f>
        <v/>
      </c>
    </row>
    <row r="100">
      <c r="A100" t="inlineStr">
        <is>
          <t>Item 100</t>
        </is>
      </c>
      <c r="B100" t="n">
        <v>300</v>
      </c>
      <c r="C100">
        <f>B100*2</f>
        <v/>
      </c>
      <c r="D100">
        <f>SUM($B$1:B100)</f>
        <v/>
      </c>
    </row>
    <row r="101">
      <c r="A101" t="inlineStr">
        <is>
          <t>Item 101</t>
        </is>
      </c>
      <c r="B101" t="n">
        <v>303</v>
      </c>
      <c r="C101">
        <f>B101*2</f>
        <v/>
      </c>
      <c r="D101">
        <f>SUM($B$1:B101)</f>
        <v/>
      </c>
    </row>
    <row r="102">
      <c r="A102" t="inlineStr">
        <is>
          <t>Item 102</t>
        </is>
      </c>
      <c r="B102" t="n">
        <v>306</v>
      </c>
      <c r="C102">
        <f>B102*2</f>
        <v/>
      </c>
      <c r="D102">
        <f>SUM($B$1:B102)</f>
        <v/>
      </c>
    </row>
    <row r="103">
      <c r="A103" t="inlineStr">
        <is>
          <t>Item 103</t>
        </is>
      </c>
      <c r="B103" t="n">
        <v>309</v>
      </c>
      <c r="C103">
        <f>B103*2</f>
        <v/>
      </c>
      <c r="D103">
        <f>SUM($B$1:B103)</f>
        <v/>
      </c>
    </row>
    <row r="104">
      <c r="A104" t="inlineStr">
        <is>
          <t>Item 104</t>
        </is>
      </c>
      <c r="B104" t="n">
        <v>312</v>
      </c>
      <c r="C104">
        <f>B104*2</f>
        <v/>
      </c>
      <c r="D104">
        <f>SUM($B$1:B104)</f>
        <v/>
      </c>
    </row>
    <row r="105">
      <c r="A105" t="inlineStr">
        <is>
          <t>Item 105</t>
        </is>
      </c>
      <c r="B105" t="n">
        <v>315</v>
      </c>
      <c r="C105">
        <f>B105*2</f>
        <v/>
      </c>
      <c r="D105">
        <f>SUM($B$1:B105)</f>
        <v/>
      </c>
    </row>
    <row r="106">
      <c r="A106" t="inlineStr">
        <is>
          <t>Item 106</t>
        </is>
      </c>
      <c r="B106" t="n">
        <v>318</v>
      </c>
      <c r="C106">
        <f>B106*2</f>
        <v/>
      </c>
      <c r="D106">
        <f>SUM($B$1:B106)</f>
        <v/>
      </c>
    </row>
    <row r="107">
      <c r="A107" t="inlineStr">
        <is>
          <t>Item 107</t>
        </is>
      </c>
      <c r="B107" t="n">
        <v>321</v>
      </c>
      <c r="C107">
        <f>B107*2</f>
        <v/>
      </c>
      <c r="D107">
        <f>SUM($B$1:B107)</f>
        <v/>
      </c>
    </row>
    <row r="108">
      <c r="A108" t="inlineStr">
        <is>
          <t>Item 108</t>
        </is>
      </c>
      <c r="B108" t="n">
        <v>324</v>
      </c>
      <c r="C108">
        <f>B108*2</f>
        <v/>
      </c>
      <c r="D108">
        <f>SUM($B$1:B108)</f>
        <v/>
      </c>
    </row>
    <row r="109">
      <c r="A109" t="inlineStr">
        <is>
          <t>Item 109</t>
        </is>
      </c>
      <c r="B109" t="n">
        <v>327</v>
      </c>
      <c r="C109">
        <f>B109*2</f>
        <v/>
      </c>
      <c r="D109">
        <f>SUM($B$1:B109)</f>
        <v/>
      </c>
    </row>
    <row r="110">
      <c r="A110" t="inlineStr">
        <is>
          <t>Item 110</t>
        </is>
      </c>
      <c r="B110" t="n">
        <v>330</v>
      </c>
      <c r="C110">
        <f>B110*2</f>
        <v/>
      </c>
      <c r="D110">
        <f>SUM($B$1:B110)</f>
        <v/>
      </c>
    </row>
    <row r="111">
      <c r="A111" t="inlineStr">
        <is>
          <t>Item 111</t>
        </is>
      </c>
      <c r="B111" t="n">
        <v>333</v>
      </c>
      <c r="C111">
        <f>B111*2</f>
        <v/>
      </c>
      <c r="D111">
        <f>SUM($B$1:B111)</f>
        <v/>
      </c>
    </row>
    <row r="112">
      <c r="A112" t="inlineStr">
        <is>
          <t>Item 112</t>
        </is>
      </c>
      <c r="B112" t="n">
        <v>336</v>
      </c>
      <c r="C112">
        <f>B112*2</f>
        <v/>
      </c>
      <c r="D112">
        <f>SUM($B$1:B112)</f>
        <v/>
      </c>
    </row>
    <row r="113">
      <c r="A113" t="inlineStr">
        <is>
          <t>Item 113</t>
        </is>
      </c>
      <c r="B113" t="n">
        <v>339</v>
      </c>
      <c r="C113">
        <f>B113*2</f>
        <v/>
      </c>
      <c r="D113">
        <f>SUM($B$1:B113)</f>
        <v/>
      </c>
    </row>
    <row r="114">
      <c r="A114" t="inlineStr">
        <is>
          <t>Item 114</t>
        </is>
      </c>
      <c r="B114" t="n">
        <v>342</v>
      </c>
      <c r="C114">
        <f>B114*2</f>
        <v/>
      </c>
      <c r="D114">
        <f>SUM($B$1:B114)</f>
        <v/>
      </c>
    </row>
    <row r="115">
      <c r="A115" t="inlineStr">
        <is>
          <t>Item 115</t>
        </is>
      </c>
      <c r="B115" t="n">
        <v>345</v>
      </c>
      <c r="C115">
        <f>B115*2</f>
        <v/>
      </c>
      <c r="D115">
        <f>SUM($B$1:B115)</f>
        <v/>
      </c>
    </row>
    <row r="116">
      <c r="A116" t="inlineStr">
        <is>
          <t>Item 116</t>
        </is>
      </c>
      <c r="B116" t="n">
        <v>348</v>
      </c>
      <c r="C116">
        <f>B116*2</f>
        <v/>
      </c>
      <c r="D116">
        <f>SUM($B$1:B116)</f>
        <v/>
      </c>
    </row>
    <row r="117">
      <c r="A117" t="inlineStr">
        <is>
          <t>Item 117</t>
        </is>
      </c>
      <c r="B117" t="n">
        <v>351</v>
      </c>
      <c r="C117">
        <f>B117*2</f>
        <v/>
      </c>
      <c r="D117">
        <f>SUM($B$1:B117)</f>
        <v/>
      </c>
    </row>
    <row r="118">
      <c r="A118" t="inlineStr">
        <is>
          <t>Item 118</t>
        </is>
      </c>
      <c r="B118" t="n">
        <v>354</v>
      </c>
      <c r="C118">
        <f>B118*2</f>
        <v/>
      </c>
      <c r="D118">
        <f>SUM($B$1:B118)</f>
        <v/>
      </c>
    </row>
    <row r="119">
      <c r="A119" t="inlineStr">
        <is>
          <t>Item 119</t>
        </is>
      </c>
      <c r="B119" t="n">
        <v>357</v>
      </c>
      <c r="C119">
        <f>B119*2</f>
        <v/>
      </c>
      <c r="D119">
        <f>SUM($B$1:B119)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1</t>
        </is>
      </c>
      <c r="B1" t="n">
        <v>12.5</v>
      </c>
      <c r="C1">
        <f>B1*1.2</f>
        <v/>
      </c>
      <c r="D1">
        <f>C1-B1</f>
        <v/>
      </c>
    </row>
    <row r="2">
      <c r="A2" t="inlineStr">
        <is>
          <t>Line 2</t>
        </is>
      </c>
      <c r="B2" t="n">
        <v>25</v>
      </c>
      <c r="C2">
        <f>B2*1.2</f>
        <v/>
      </c>
      <c r="D2">
        <f>C2-B2</f>
        <v/>
      </c>
    </row>
    <row r="3">
      <c r="A3" t="inlineStr">
        <is>
          <t>Line 3</t>
        </is>
      </c>
      <c r="B3" t="n">
        <v>37.5</v>
      </c>
      <c r="C3">
        <f>B3*1.2</f>
        <v/>
      </c>
      <c r="D3">
        <f>C3-B3</f>
        <v/>
      </c>
    </row>
    <row r="4">
      <c r="A4" t="inlineStr">
        <is>
          <t>Line 4</t>
        </is>
      </c>
      <c r="B4" t="n">
        <v>50</v>
      </c>
      <c r="C4">
        <f>B4*1.2</f>
        <v/>
      </c>
      <c r="D4">
        <f>C4-B4</f>
        <v/>
      </c>
    </row>
    <row r="5">
      <c r="A5" t="inlineStr">
        <is>
          <t>Line 5</t>
        </is>
      </c>
      <c r="B5" t="n">
        <v>62.5</v>
      </c>
      <c r="C5">
        <f>B5*1.2</f>
        <v/>
      </c>
      <c r="D5">
        <f>C5-B5</f>
        <v/>
      </c>
    </row>
    <row r="6">
      <c r="A6" t="inlineStr">
        <is>
          <t>Line 6</t>
        </is>
      </c>
      <c r="B6" t="n">
        <v>75</v>
      </c>
      <c r="C6">
        <f>B6*1.2</f>
        <v/>
      </c>
      <c r="D6">
        <f>C6-B6</f>
        <v/>
      </c>
    </row>
    <row r="7">
      <c r="A7" t="inlineStr">
        <is>
          <t>Line 7</t>
        </is>
      </c>
      <c r="B7" t="n">
        <v>87.5</v>
      </c>
      <c r="C7">
        <f>B7*1.2</f>
        <v/>
      </c>
      <c r="D7">
        <f>C7-B7</f>
        <v/>
      </c>
    </row>
    <row r="8">
      <c r="A8" t="inlineStr">
        <is>
          <t>Line 8</t>
        </is>
      </c>
      <c r="B8" t="n">
        <v>100</v>
      </c>
      <c r="C8">
        <f>B8*1.2</f>
        <v/>
      </c>
      <c r="D8">
        <f>C8-B8</f>
        <v/>
      </c>
    </row>
    <row r="9">
      <c r="A9" t="inlineStr">
        <is>
          <t>Line 9</t>
        </is>
      </c>
      <c r="B9" t="n">
        <v>112.5</v>
      </c>
      <c r="C9">
        <f>B9*1.2</f>
        <v/>
      </c>
      <c r="D9">
        <f>C9-B9</f>
        <v/>
      </c>
    </row>
    <row r="10">
      <c r="A10" t="inlineStr">
        <is>
          <t>Line 10</t>
        </is>
      </c>
      <c r="B10" t="n">
        <v>125</v>
      </c>
      <c r="C10">
        <f>B10*1.2</f>
        <v/>
      </c>
      <c r="D10">
        <f>C10-B10</f>
        <v/>
      </c>
    </row>
    <row r="11">
      <c r="A11" t="inlineStr">
        <is>
          <t>Line 11</t>
        </is>
      </c>
      <c r="B11" t="n">
        <v>137.5</v>
      </c>
      <c r="C11">
        <f>B11*1.2</f>
        <v/>
      </c>
      <c r="D11">
        <f>C11-B11</f>
        <v/>
      </c>
    </row>
    <row r="12">
      <c r="A12" t="inlineStr">
        <is>
          <t>Line 12</t>
        </is>
      </c>
      <c r="B12" t="n">
        <v>150</v>
      </c>
      <c r="C12">
        <f>B12*1.2</f>
        <v/>
      </c>
      <c r="D12">
        <f>C12-B12</f>
        <v/>
      </c>
    </row>
    <row r="13">
      <c r="A13" t="inlineStr">
        <is>
          <t>Line 13</t>
        </is>
      </c>
      <c r="B13" t="n">
        <v>162.5</v>
      </c>
      <c r="C13">
        <f>B13*1.2</f>
        <v/>
      </c>
      <c r="D13">
        <f>C13-B13</f>
        <v/>
      </c>
    </row>
    <row r="14">
      <c r="A14" t="inlineStr">
        <is>
          <t>Line 14</t>
        </is>
      </c>
      <c r="B14" t="n">
        <v>175</v>
      </c>
      <c r="C14">
        <f>B14*1.2</f>
        <v/>
      </c>
      <c r="D14">
        <f>C14-B14</f>
        <v/>
      </c>
    </row>
    <row r="15">
      <c r="A15" t="inlineStr">
        <is>
          <t>Line 15</t>
        </is>
      </c>
      <c r="B15" t="n">
        <v>187.5</v>
      </c>
      <c r="C15">
        <f>B15*1.2</f>
        <v/>
      </c>
      <c r="D15">
        <f>C15-B15</f>
        <v/>
      </c>
    </row>
    <row r="16">
      <c r="A16" t="inlineStr">
        <is>
          <t>Line 16</t>
        </is>
      </c>
      <c r="B16" t="n">
        <v>200</v>
      </c>
      <c r="C16">
        <f>B16*1.2</f>
        <v/>
      </c>
      <c r="D16">
        <f>C16-B16</f>
        <v/>
      </c>
    </row>
    <row r="17">
      <c r="A17" t="inlineStr">
        <is>
          <t>Line 17</t>
        </is>
      </c>
      <c r="B17" t="n">
        <v>212.5</v>
      </c>
      <c r="C17">
        <f>B17*1.2</f>
        <v/>
      </c>
      <c r="D17">
        <f>C17-B17</f>
        <v/>
      </c>
    </row>
    <row r="18">
      <c r="A18" t="inlineStr">
        <is>
          <t>Line 18</t>
        </is>
      </c>
      <c r="B18" t="n">
        <v>225</v>
      </c>
      <c r="C18">
        <f>B18*1.2</f>
        <v/>
      </c>
      <c r="D18">
        <f>C18-B18</f>
        <v/>
      </c>
    </row>
    <row r="19">
      <c r="A19" t="inlineStr">
        <is>
          <t>Line 19</t>
        </is>
      </c>
      <c r="B19" t="n">
        <v>237.5</v>
      </c>
      <c r="C19">
        <f>B19*1.2</f>
        <v/>
      </c>
      <c r="D19">
        <f>C19-B19</f>
        <v/>
      </c>
    </row>
    <row r="20">
      <c r="A20" t="inlineStr">
        <is>
          <t>Line 20</t>
        </is>
      </c>
      <c r="B20" t="n">
        <v>250</v>
      </c>
      <c r="C20">
        <f>B20*1.2</f>
        <v/>
      </c>
      <c r="D20">
        <f>C20-B20</f>
        <v/>
      </c>
    </row>
    <row r="21">
      <c r="A21" t="inlineStr">
        <is>
          <t>Line 21</t>
        </is>
      </c>
      <c r="B21" t="n">
        <v>262.5</v>
      </c>
      <c r="C21">
        <f>B21*1.2</f>
        <v/>
      </c>
      <c r="D21">
        <f>C21-B21</f>
        <v/>
      </c>
    </row>
    <row r="22">
      <c r="A22" t="inlineStr">
        <is>
          <t>Line 22</t>
        </is>
      </c>
      <c r="B22" t="n">
        <v>275</v>
      </c>
      <c r="C22">
        <f>B22*1.2</f>
        <v/>
      </c>
      <c r="D22">
        <f>C22-B22</f>
        <v/>
      </c>
    </row>
    <row r="23">
      <c r="A23" t="inlineStr">
        <is>
          <t>Line 23</t>
        </is>
      </c>
      <c r="B23" t="n">
        <v>287.5</v>
      </c>
      <c r="C23">
        <f>B23*1.2</f>
        <v/>
      </c>
      <c r="D23">
        <f>C23-B23</f>
        <v/>
      </c>
    </row>
    <row r="24">
      <c r="A24" t="inlineStr">
        <is>
          <t>Line 24</t>
        </is>
      </c>
      <c r="B24" t="n">
        <v>300</v>
      </c>
      <c r="C24">
        <f>B24*1.2</f>
        <v/>
      </c>
      <c r="D24">
        <f>C24-B24</f>
        <v/>
      </c>
    </row>
    <row r="25">
      <c r="A25" t="inlineStr">
        <is>
          <t>Line 25</t>
        </is>
      </c>
      <c r="B25" t="n">
        <v>312.5</v>
      </c>
      <c r="C25">
        <f>B25*1.2</f>
        <v/>
      </c>
      <c r="D25">
        <f>C25-B25</f>
        <v/>
      </c>
    </row>
    <row r="26">
      <c r="A26" t="inlineStr">
        <is>
          <t>Line 26</t>
        </is>
      </c>
      <c r="B26" t="n">
        <v>325</v>
      </c>
      <c r="C26">
        <f>B26*1.2</f>
        <v/>
      </c>
      <c r="D26">
        <f>C26-B26</f>
        <v/>
      </c>
    </row>
    <row r="27">
      <c r="A27" t="inlineStr">
        <is>
          <t>Line 27</t>
        </is>
      </c>
      <c r="B27" t="n">
        <v>337.5</v>
      </c>
      <c r="C27">
        <f>B27*1.2</f>
        <v/>
      </c>
      <c r="D27">
        <f>C27-B27</f>
        <v/>
      </c>
    </row>
    <row r="28">
      <c r="A28" t="inlineStr">
        <is>
          <t>Line 28</t>
        </is>
      </c>
      <c r="B28" t="n">
        <v>350</v>
      </c>
      <c r="C28">
        <f>B28*1.2</f>
        <v/>
      </c>
      <c r="D28">
        <f>C28-B28</f>
        <v/>
      </c>
    </row>
    <row r="29">
      <c r="A29" t="inlineStr">
        <is>
          <t>Line 29</t>
        </is>
      </c>
      <c r="B29" t="n">
        <v>362.5</v>
      </c>
      <c r="C29">
        <f>B29*1.2</f>
        <v/>
      </c>
      <c r="D29">
        <f>C29-B29</f>
        <v/>
      </c>
    </row>
    <row r="30">
      <c r="A30" t="inlineStr">
        <is>
          <t>Line 30</t>
        </is>
      </c>
      <c r="B30" t="n">
        <v>375</v>
      </c>
      <c r="C30">
        <f>B30*1.2</f>
        <v/>
      </c>
      <c r="D30">
        <f>C30-B30</f>
        <v/>
      </c>
    </row>
    <row r="31">
      <c r="A31" t="inlineStr">
        <is>
          <t>Line 31</t>
        </is>
      </c>
      <c r="B31" t="n">
        <v>387.5</v>
      </c>
      <c r="C31">
        <f>B31*1.2</f>
        <v/>
      </c>
      <c r="D31">
        <f>C31-B31</f>
        <v/>
      </c>
    </row>
    <row r="32">
      <c r="A32" t="inlineStr">
        <is>
          <t>Line 32</t>
        </is>
      </c>
      <c r="B32" t="n">
        <v>400</v>
      </c>
      <c r="C32">
        <f>B32*1.2</f>
        <v/>
      </c>
      <c r="D32">
        <f>C32-B32</f>
        <v/>
      </c>
    </row>
    <row r="33">
      <c r="A33" t="inlineStr">
        <is>
          <t>Line 33</t>
        </is>
      </c>
      <c r="B33" t="n">
        <v>412.5</v>
      </c>
      <c r="C33">
        <f>B33*1.2</f>
        <v/>
      </c>
      <c r="D33">
        <f>C33-B33</f>
        <v/>
      </c>
    </row>
    <row r="34">
      <c r="A34" t="inlineStr">
        <is>
          <t>Line 34</t>
        </is>
      </c>
      <c r="B34" t="n">
        <v>425</v>
      </c>
      <c r="C34">
        <f>B34*1.2</f>
        <v/>
      </c>
      <c r="D34">
        <f>C34-B34</f>
        <v/>
      </c>
    </row>
    <row r="35">
      <c r="A35" t="inlineStr">
        <is>
          <t>Line 35</t>
        </is>
      </c>
      <c r="B35" t="n">
        <v>437.5</v>
      </c>
      <c r="C35">
        <f>B35*1.2</f>
        <v/>
      </c>
      <c r="D35">
        <f>C35-B35</f>
        <v/>
      </c>
    </row>
    <row r="36">
      <c r="A36" t="inlineStr">
        <is>
          <t>Line 36</t>
        </is>
      </c>
      <c r="B36" t="n">
        <v>450</v>
      </c>
      <c r="C36">
        <f>B36*1.2</f>
        <v/>
      </c>
      <c r="D36">
        <f>C36-B36</f>
        <v/>
      </c>
    </row>
    <row r="37">
      <c r="A37" t="inlineStr">
        <is>
          <t>Line 37</t>
        </is>
      </c>
      <c r="B37" t="n">
        <v>462.5</v>
      </c>
      <c r="C37">
        <f>B37*1.2</f>
        <v/>
      </c>
      <c r="D37">
        <f>C37-B37</f>
        <v/>
      </c>
    </row>
    <row r="38">
      <c r="A38" t="inlineStr">
        <is>
          <t>Line 38</t>
        </is>
      </c>
      <c r="B38" t="n">
        <v>475</v>
      </c>
      <c r="C38">
        <f>B38*1.2</f>
        <v/>
      </c>
      <c r="D38">
        <f>C38-B38</f>
        <v/>
      </c>
    </row>
    <row r="39">
      <c r="A39" t="inlineStr">
        <is>
          <t>Line 39</t>
        </is>
      </c>
      <c r="B39" t="n">
        <v>487.5</v>
      </c>
      <c r="C39">
        <f>B39*1.2</f>
        <v/>
      </c>
      <c r="D39">
        <f>C39-B39</f>
        <v/>
      </c>
    </row>
    <row r="40">
      <c r="A40" t="inlineStr">
        <is>
          <t>Line 40</t>
        </is>
      </c>
      <c r="B40" t="n">
        <v>500</v>
      </c>
      <c r="C40">
        <f>B40*1.2</f>
        <v/>
      </c>
      <c r="D40">
        <f>C40-B40</f>
        <v/>
      </c>
    </row>
    <row r="41">
      <c r="A41" t="inlineStr">
        <is>
          <t>Line 41</t>
        </is>
      </c>
      <c r="B41" t="n">
        <v>512.5</v>
      </c>
      <c r="C41">
        <f>B41*1.2</f>
        <v/>
      </c>
      <c r="D41">
        <f>C41-B41</f>
        <v/>
      </c>
    </row>
    <row r="42">
      <c r="A42" t="inlineStr">
        <is>
          <t>Line 42</t>
        </is>
      </c>
      <c r="B42" t="n">
        <v>525</v>
      </c>
      <c r="C42">
        <f>B42*1.2</f>
        <v/>
      </c>
      <c r="D42">
        <f>C42-B42</f>
        <v/>
      </c>
    </row>
    <row r="43">
      <c r="A43" t="inlineStr">
        <is>
          <t>Line 43</t>
        </is>
      </c>
      <c r="B43" t="n">
        <v>537.5</v>
      </c>
      <c r="C43">
        <f>B43*1.2</f>
        <v/>
      </c>
      <c r="D43">
        <f>C43-B43</f>
        <v/>
      </c>
    </row>
    <row r="44">
      <c r="A44" t="inlineStr">
        <is>
          <t>Line 44</t>
        </is>
      </c>
      <c r="B44" t="n">
        <v>550</v>
      </c>
      <c r="C44">
        <f>B44*1.2</f>
        <v/>
      </c>
      <c r="D44">
        <f>C44-B44</f>
        <v/>
      </c>
    </row>
    <row r="45">
      <c r="A45" t="inlineStr">
        <is>
          <t>Line 45</t>
        </is>
      </c>
      <c r="B45" t="n">
        <v>562.5</v>
      </c>
      <c r="C45">
        <f>B45*1.2</f>
        <v/>
      </c>
      <c r="D45">
        <f>C45-B45</f>
        <v/>
      </c>
    </row>
    <row r="46">
      <c r="A46" t="inlineStr">
        <is>
          <t>Line 46</t>
        </is>
      </c>
      <c r="B46" t="n">
        <v>575</v>
      </c>
      <c r="C46">
        <f>B46*1.2</f>
        <v/>
      </c>
      <c r="D46">
        <f>C46-B46</f>
        <v/>
      </c>
    </row>
    <row r="47">
      <c r="A47" t="inlineStr">
        <is>
          <t>Line 47</t>
        </is>
      </c>
      <c r="B47" t="n">
        <v>587.5</v>
      </c>
      <c r="C47">
        <f>B47*1.2</f>
        <v/>
      </c>
      <c r="D47">
        <f>C47-B47</f>
        <v/>
      </c>
    </row>
    <row r="48">
      <c r="A48" t="inlineStr">
        <is>
          <t>Line 48</t>
        </is>
      </c>
      <c r="B48" t="n">
        <v>600</v>
      </c>
      <c r="C48">
        <f>B48*1.2</f>
        <v/>
      </c>
      <c r="D48">
        <f>C48-B48</f>
        <v/>
      </c>
    </row>
    <row r="49">
      <c r="A49" t="inlineStr">
        <is>
          <t>Line 49</t>
        </is>
      </c>
      <c r="B49" t="n">
        <v>612.5</v>
      </c>
      <c r="C49">
        <f>B49*1.2</f>
        <v/>
      </c>
      <c r="D49">
        <f>C49-B49</f>
        <v/>
      </c>
    </row>
    <row r="50">
      <c r="A50" t="inlineStr">
        <is>
          <t>Line 50</t>
        </is>
      </c>
      <c r="B50" t="n">
        <v>625</v>
      </c>
      <c r="C50">
        <f>B50*1.2</f>
        <v/>
      </c>
      <c r="D50">
        <f>C50-B50</f>
        <v/>
      </c>
    </row>
    <row r="51">
      <c r="A51" t="inlineStr">
        <is>
          <t>Line 51</t>
        </is>
      </c>
      <c r="B51" t="n">
        <v>637.5</v>
      </c>
      <c r="C51">
        <f>B51*1.2</f>
        <v/>
      </c>
      <c r="D51">
        <f>C51-B51</f>
        <v/>
      </c>
    </row>
    <row r="52">
      <c r="A52" t="inlineStr">
        <is>
          <t>Line 52</t>
        </is>
      </c>
      <c r="B52" t="n">
        <v>650</v>
      </c>
      <c r="C52">
        <f>B52*1.2</f>
        <v/>
      </c>
      <c r="D52">
        <f>C52-B52</f>
        <v/>
      </c>
    </row>
    <row r="53">
      <c r="A53" t="inlineStr">
        <is>
          <t>Line 53</t>
        </is>
      </c>
      <c r="B53" t="n">
        <v>662.5</v>
      </c>
      <c r="C53">
        <f>B53*1.2</f>
        <v/>
      </c>
      <c r="D53">
        <f>C53-B53</f>
        <v/>
      </c>
    </row>
    <row r="54">
      <c r="A54" t="inlineStr">
        <is>
          <t>Line 54</t>
        </is>
      </c>
      <c r="B54" t="n">
        <v>675</v>
      </c>
      <c r="C54">
        <f>B54*1.2</f>
        <v/>
      </c>
      <c r="D54">
        <f>C54-B54</f>
        <v/>
      </c>
    </row>
    <row r="55">
      <c r="A55" t="inlineStr">
        <is>
          <t>Line 55</t>
        </is>
      </c>
      <c r="B55" t="n">
        <v>687.5</v>
      </c>
      <c r="C55">
        <f>B55*1.2</f>
        <v/>
      </c>
      <c r="D55">
        <f>C55-B55</f>
        <v/>
      </c>
    </row>
    <row r="56">
      <c r="A56" t="inlineStr">
        <is>
          <t>Line 56</t>
        </is>
      </c>
      <c r="B56" t="n">
        <v>700</v>
      </c>
      <c r="C56">
        <f>B56*1.2</f>
        <v/>
      </c>
      <c r="D56">
        <f>C56-B56</f>
        <v/>
      </c>
    </row>
    <row r="57">
      <c r="A57" t="inlineStr">
        <is>
          <t>Line 57</t>
        </is>
      </c>
      <c r="B57" t="n">
        <v>712.5</v>
      </c>
      <c r="C57">
        <f>B57*1.2</f>
        <v/>
      </c>
      <c r="D57">
        <f>C57-B57</f>
        <v/>
      </c>
    </row>
    <row r="58">
      <c r="A58" t="inlineStr">
        <is>
          <t>Line 58</t>
        </is>
      </c>
      <c r="B58" t="n">
        <v>725</v>
      </c>
      <c r="C58">
        <f>B58*1.2</f>
        <v/>
      </c>
      <c r="D58">
        <f>C58-B58</f>
        <v/>
      </c>
    </row>
    <row r="59">
      <c r="A59" t="inlineStr">
        <is>
          <t>Line 59</t>
        </is>
      </c>
      <c r="B59" t="n">
        <v>737.5</v>
      </c>
      <c r="C59">
        <f>B59*1.2</f>
        <v/>
      </c>
      <c r="D59">
        <f>C59-B59</f>
        <v/>
      </c>
    </row>
    <row r="60">
      <c r="A60" t="inlineStr">
        <is>
          <t>Line 60</t>
        </is>
      </c>
      <c r="B60" t="n">
        <v>750</v>
      </c>
      <c r="C60">
        <f>B60*1.2</f>
        <v/>
      </c>
      <c r="D60">
        <f>C60-B60</f>
        <v/>
      </c>
    </row>
    <row r="61">
      <c r="A61" t="inlineStr">
        <is>
          <t>Line 61</t>
        </is>
      </c>
      <c r="B61" t="n">
        <v>762.5</v>
      </c>
      <c r="C61">
        <f>B61*1.2</f>
        <v/>
      </c>
      <c r="D61">
        <f>C61-B61</f>
        <v/>
      </c>
    </row>
    <row r="62">
      <c r="A62" t="inlineStr">
        <is>
          <t>Line 62</t>
        </is>
      </c>
      <c r="B62" t="n">
        <v>775</v>
      </c>
      <c r="C62">
        <f>B62*1.2</f>
        <v/>
      </c>
      <c r="D62">
        <f>C62-B62</f>
        <v/>
      </c>
    </row>
    <row r="63">
      <c r="A63" t="inlineStr">
        <is>
          <t>Line 63</t>
        </is>
      </c>
      <c r="B63" t="n">
        <v>787.5</v>
      </c>
      <c r="C63">
        <f>B63*1.2</f>
        <v/>
      </c>
      <c r="D63">
        <f>C63-B63</f>
        <v/>
      </c>
    </row>
    <row r="64">
      <c r="A64" t="inlineStr">
        <is>
          <t>Line 64</t>
        </is>
      </c>
      <c r="B64" t="n">
        <v>800</v>
      </c>
      <c r="C64">
        <f>B64*1.2</f>
        <v/>
      </c>
      <c r="D64">
        <f>C64-B64</f>
        <v/>
      </c>
    </row>
    <row r="65">
      <c r="A65" t="inlineStr">
        <is>
          <t>Line 65</t>
        </is>
      </c>
      <c r="B65" t="n">
        <v>812.5</v>
      </c>
      <c r="C65">
        <f>B65*1.2</f>
        <v/>
      </c>
      <c r="D65">
        <f>C65-B65</f>
        <v/>
      </c>
    </row>
    <row r="66">
      <c r="A66" t="inlineStr">
        <is>
          <t>Line 66</t>
        </is>
      </c>
      <c r="B66" t="n">
        <v>825</v>
      </c>
      <c r="C66">
        <f>B66*1.2</f>
        <v/>
      </c>
      <c r="D66">
        <f>C66-B66</f>
        <v/>
      </c>
    </row>
    <row r="67">
      <c r="A67" t="inlineStr">
        <is>
          <t>Line 67</t>
        </is>
      </c>
      <c r="B67" t="n">
        <v>837.5</v>
      </c>
      <c r="C67">
        <f>B67*1.2</f>
        <v/>
      </c>
      <c r="D67">
        <f>C67-B67</f>
        <v/>
      </c>
    </row>
    <row r="68">
      <c r="A68" t="inlineStr">
        <is>
          <t>Line 68</t>
        </is>
      </c>
      <c r="B68" t="n">
        <v>850</v>
      </c>
      <c r="C68">
        <f>B68*1.2</f>
        <v/>
      </c>
      <c r="D68">
        <f>C68-B68</f>
        <v/>
      </c>
    </row>
    <row r="69">
      <c r="A69" t="inlineStr">
        <is>
          <t>Line 69</t>
        </is>
      </c>
      <c r="B69" t="n">
        <v>862.5</v>
      </c>
      <c r="C69">
        <f>B69*1.2</f>
        <v/>
      </c>
      <c r="D69">
        <f>C69-B69</f>
        <v/>
      </c>
    </row>
    <row r="70">
      <c r="A70" t="inlineStr">
        <is>
          <t>Line 70</t>
        </is>
      </c>
      <c r="B70" t="n">
        <v>875</v>
      </c>
      <c r="C70">
        <f>B70*1.2</f>
        <v/>
      </c>
      <c r="D70">
        <f>C70-B70</f>
        <v/>
      </c>
    </row>
    <row r="71">
      <c r="A71" t="inlineStr">
        <is>
          <t>Line 71</t>
        </is>
      </c>
      <c r="B71" t="n">
        <v>887.5</v>
      </c>
      <c r="C71">
        <f>B71*1.2</f>
        <v/>
      </c>
      <c r="D71">
        <f>C71-B71</f>
        <v/>
      </c>
    </row>
    <row r="72">
      <c r="A72" t="inlineStr">
        <is>
          <t>Line 72</t>
        </is>
      </c>
      <c r="B72" t="n">
        <v>900</v>
      </c>
      <c r="C72">
        <f>B72*1.2</f>
        <v/>
      </c>
      <c r="D72">
        <f>C72-B72</f>
        <v/>
      </c>
    </row>
    <row r="73">
      <c r="A73" t="inlineStr">
        <is>
          <t>Line 73</t>
        </is>
      </c>
      <c r="B73" t="n">
        <v>912.5</v>
      </c>
      <c r="C73">
        <f>B73*1.2</f>
        <v/>
      </c>
      <c r="D73">
        <f>C73-B73</f>
        <v/>
      </c>
    </row>
    <row r="74">
      <c r="A74" t="inlineStr">
        <is>
          <t>Line 74</t>
        </is>
      </c>
      <c r="B74" t="n">
        <v>925</v>
      </c>
      <c r="C74">
        <f>B74*1.2</f>
        <v/>
      </c>
      <c r="D74">
        <f>C74-B74</f>
        <v/>
      </c>
    </row>
    <row r="75">
      <c r="A75" t="inlineStr">
        <is>
          <t>Line 75</t>
        </is>
      </c>
      <c r="B75" t="n">
        <v>937.5</v>
      </c>
      <c r="C75">
        <f>B75*1.2</f>
        <v/>
      </c>
      <c r="D75">
        <f>C75-B75</f>
        <v/>
      </c>
    </row>
    <row r="76">
      <c r="A76" t="inlineStr">
        <is>
          <t>Line 76</t>
        </is>
      </c>
      <c r="B76" t="n">
        <v>950</v>
      </c>
      <c r="C76">
        <f>B76*1.2</f>
        <v/>
      </c>
      <c r="D76">
        <f>C76-B76</f>
        <v/>
      </c>
    </row>
    <row r="77">
      <c r="A77" t="inlineStr">
        <is>
          <t>Line 77</t>
        </is>
      </c>
      <c r="B77" t="n">
        <v>962.5</v>
      </c>
      <c r="C77">
        <f>B77*1.2</f>
        <v/>
      </c>
      <c r="D77">
        <f>C77-B77</f>
        <v/>
      </c>
    </row>
    <row r="78">
      <c r="A78" t="inlineStr">
        <is>
          <t>Line 78</t>
        </is>
      </c>
      <c r="B78" t="n">
        <v>975</v>
      </c>
      <c r="C78">
        <f>B78*1.2</f>
        <v/>
      </c>
      <c r="D78">
        <f>C78-B78</f>
        <v/>
      </c>
    </row>
    <row r="79">
      <c r="A79" t="inlineStr">
        <is>
          <t>Line 79</t>
        </is>
      </c>
      <c r="B79" t="n">
        <v>987.5</v>
      </c>
      <c r="C79">
        <f>B79*1.2</f>
        <v/>
      </c>
      <c r="D79">
        <f>C79-B79</f>
        <v/>
      </c>
    </row>
    <row r="80">
      <c r="A80" t="inlineStr">
        <is>
          <t>Line 80</t>
        </is>
      </c>
      <c r="B80" t="n">
        <v>1000</v>
      </c>
      <c r="C80">
        <f>B80*1.2</f>
        <v/>
      </c>
      <c r="D80">
        <f>C80-B80</f>
        <v/>
      </c>
    </row>
    <row r="81">
      <c r="A81" t="inlineStr">
        <is>
          <t>Line 81</t>
        </is>
      </c>
      <c r="B81" t="n">
        <v>1012.5</v>
      </c>
      <c r="C81">
        <f>B81*1.2</f>
        <v/>
      </c>
      <c r="D81">
        <f>C81-B81</f>
        <v/>
      </c>
    </row>
    <row r="82">
      <c r="A82" t="inlineStr">
        <is>
          <t>Line 82</t>
        </is>
      </c>
      <c r="B82" t="n">
        <v>1025</v>
      </c>
      <c r="C82">
        <f>B82*1.2</f>
        <v/>
      </c>
      <c r="D82">
        <f>C82-B82</f>
        <v/>
      </c>
    </row>
    <row r="83">
      <c r="A83" t="inlineStr">
        <is>
          <t>Line 83</t>
        </is>
      </c>
      <c r="B83" t="n">
        <v>1037.5</v>
      </c>
      <c r="C83">
        <f>B83*1.2</f>
        <v/>
      </c>
      <c r="D83">
        <f>C83-B83</f>
        <v/>
      </c>
    </row>
    <row r="84">
      <c r="A84" t="inlineStr">
        <is>
          <t>Line 84</t>
        </is>
      </c>
      <c r="B84" t="n">
        <v>1050</v>
      </c>
      <c r="C84">
        <f>B84*1.2</f>
        <v/>
      </c>
      <c r="D84">
        <f>C84-B84</f>
        <v/>
      </c>
    </row>
    <row r="85">
      <c r="A85" t="inlineStr">
        <is>
          <t>Line 85</t>
        </is>
      </c>
      <c r="B85" t="n">
        <v>1062.5</v>
      </c>
      <c r="C85">
        <f>B85*1.2</f>
        <v/>
      </c>
      <c r="D85">
        <f>C85-B85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1</t>
        </is>
      </c>
      <c r="B1">
        <f>LEN(A1)</f>
        <v/>
      </c>
      <c r="C1">
        <f>B1+1</f>
        <v/>
      </c>
    </row>
    <row r="2">
      <c r="A2" t="inlineStr">
        <is>
          <t>Entry 2</t>
        </is>
      </c>
      <c r="B2">
        <f>LEN(A2)</f>
        <v/>
      </c>
      <c r="C2">
        <f>B2+2</f>
        <v/>
      </c>
    </row>
    <row r="3">
      <c r="A3" t="inlineStr">
        <is>
          <t>Entry 3</t>
        </is>
      </c>
      <c r="B3">
        <f>LEN(A3)</f>
        <v/>
      </c>
      <c r="C3">
        <f>B3+3</f>
        <v/>
      </c>
    </row>
    <row r="4">
      <c r="A4" t="inlineStr">
        <is>
          <t>Entry 4</t>
        </is>
      </c>
      <c r="B4">
        <f>LEN(A4)</f>
        <v/>
      </c>
      <c r="C4">
        <f>B4+4</f>
        <v/>
      </c>
    </row>
    <row r="5">
      <c r="A5" t="inlineStr">
        <is>
          <t>Entry 5</t>
        </is>
      </c>
      <c r="B5">
        <f>LEN(A5)</f>
        <v/>
      </c>
      <c r="C5">
        <f>B5+5</f>
        <v/>
      </c>
    </row>
    <row r="6">
      <c r="A6" t="inlineStr">
        <is>
          <t>Entry 6</t>
        </is>
      </c>
      <c r="B6">
        <f>LEN(A6)</f>
        <v/>
      </c>
      <c r="C6">
        <f>B6+6</f>
        <v/>
      </c>
    </row>
    <row r="7">
      <c r="A7" t="inlineStr">
        <is>
          <t>Entry 7</t>
        </is>
      </c>
      <c r="B7">
        <f>LEN(A7)</f>
        <v/>
      </c>
      <c r="C7">
        <f>B7+7</f>
        <v/>
      </c>
    </row>
    <row r="8">
      <c r="A8" t="inlineStr">
        <is>
          <t>Entry 8</t>
        </is>
      </c>
      <c r="B8">
        <f>LEN(A8)</f>
        <v/>
      </c>
      <c r="C8">
        <f>B8+8</f>
        <v/>
      </c>
    </row>
    <row r="9">
      <c r="A9" t="inlineStr">
        <is>
          <t>Entry 9</t>
        </is>
      </c>
      <c r="B9">
        <f>LEN(A9)</f>
        <v/>
      </c>
      <c r="C9">
        <f>B9+9</f>
        <v/>
      </c>
    </row>
    <row r="10">
      <c r="A10" t="inlineStr">
        <is>
          <t>Entry 10</t>
        </is>
      </c>
      <c r="B10">
        <f>LEN(A10)</f>
        <v/>
      </c>
      <c r="C10">
        <f>B10+10</f>
        <v/>
      </c>
    </row>
    <row r="11">
      <c r="A11" t="inlineStr">
        <is>
          <t>Entry 11</t>
        </is>
      </c>
      <c r="B11">
        <f>LEN(A11)</f>
        <v/>
      </c>
      <c r="C11">
        <f>B11+11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1</t>
        </is>
      </c>
    </row>
    <row r="2">
      <c r="A2" t="inlineStr">
        <is>
          <t>Team 2</t>
        </is>
      </c>
    </row>
    <row r="3">
      <c r="A3" t="inlineStr">
        <is>
          <t>Team 3</t>
        </is>
      </c>
    </row>
    <row r="4">
      <c r="A4" t="inlineStr">
        <is>
          <t>Team 4</t>
        </is>
      </c>
    </row>
    <row r="5">
      <c r="A5" t="inlineStr">
        <is>
          <t>Team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 1</t>
        </is>
      </c>
      <c r="B1" t="n">
        <v>7</v>
      </c>
    </row>
    <row r="2">
      <c r="A2" t="inlineStr">
        <is>
          <t>Gap 2</t>
        </is>
      </c>
      <c r="B2" t="n">
        <v>3</v>
      </c>
    </row>
    <row r="3">
      <c r="A3" t="inlineStr">
        <is>
          <t>Gap 3</t>
        </is>
      </c>
      <c r="B3" t="n">
        <v>10</v>
      </c>
    </row>
    <row r="4">
      <c r="A4" t="inlineStr">
        <is>
          <t>Gap 4</t>
        </is>
      </c>
      <c r="B4" t="n">
        <v>6</v>
      </c>
    </row>
    <row r="5">
      <c r="A5" t="inlineStr">
        <is>
          <t>Gap 5</t>
        </is>
      </c>
      <c r="B5" t="n">
        <v>2</v>
      </c>
    </row>
    <row r="6">
      <c r="A6" t="inlineStr">
        <is>
          <t>Gap 6</t>
        </is>
      </c>
      <c r="B6" t="n">
        <v>9</v>
      </c>
    </row>
    <row r="7">
      <c r="A7" t="inlineStr">
        <is>
          <t>Gap 7</t>
        </is>
      </c>
      <c r="B7" t="n">
        <v>5</v>
      </c>
    </row>
    <row r="8">
      <c r="A8" t="inlineStr">
        <is>
          <t>Gap 8</t>
        </is>
      </c>
      <c r="B8" t="n">
        <v>1</v>
      </c>
    </row>
    <row r="9">
      <c r="A9" t="inlineStr">
        <is>
          <t>Gap 9</t>
        </is>
      </c>
      <c r="B9" t="n">
        <v>8</v>
      </c>
    </row>
    <row r="10">
      <c r="A10" t="inlineStr">
        <is>
          <t>Gap 10</t>
        </is>
      </c>
      <c r="B10" t="n">
        <v>4</v>
      </c>
    </row>
    <row r="11">
      <c r="A11" t="inlineStr">
        <is>
          <t>Gap 11</t>
        </is>
      </c>
      <c r="B11" t="n">
        <v>0</v>
      </c>
    </row>
    <row r="12">
      <c r="A12" t="inlineStr">
        <is>
          <t>Gap 12</t>
        </is>
      </c>
      <c r="B12" t="n">
        <v>7</v>
      </c>
    </row>
    <row r="13">
      <c r="A13" t="inlineStr">
        <is>
          <t>Gap 13</t>
        </is>
      </c>
      <c r="B13" t="n">
        <v>3</v>
      </c>
    </row>
    <row r="14">
      <c r="A14" t="inlineStr">
        <is>
          <t>Gap 14</t>
        </is>
      </c>
      <c r="B14" t="n">
        <v>10</v>
      </c>
    </row>
    <row r="15">
      <c r="A15" t="inlineStr">
        <is>
          <t>Gap 15</t>
        </is>
      </c>
      <c r="B15" t="n">
        <v>6</v>
      </c>
    </row>
    <row r="16">
      <c r="A16" t="inlineStr">
        <is>
          <t>Gap 16</t>
        </is>
      </c>
      <c r="B16" t="n">
        <v>2</v>
      </c>
    </row>
    <row r="17">
      <c r="A17" t="inlineStr">
        <is>
          <t>Gap 17</t>
        </is>
      </c>
      <c r="B17" t="n">
        <v>9</v>
      </c>
    </row>
    <row r="18">
      <c r="A18" t="inlineStr">
        <is>
          <t>Gap 18</t>
        </is>
      </c>
      <c r="B18" t="n">
        <v>5</v>
      </c>
    </row>
    <row r="19">
      <c r="A19" t="inlineStr">
        <is>
          <t>Gap 19</t>
        </is>
      </c>
      <c r="B19" t="n">
        <v>1</v>
      </c>
    </row>
    <row r="20">
      <c r="A20" t="inlineStr">
        <is>
          <t>Gap 20</t>
        </is>
      </c>
      <c r="B20" t="n">
        <v>8</v>
      </c>
    </row>
    <row r="21">
      <c r="A21" t="inlineStr">
        <is>
          <t>Gap 21</t>
        </is>
      </c>
      <c r="B21" t="n">
        <v>4</v>
      </c>
    </row>
    <row r="22">
      <c r="A22" t="inlineStr">
        <is>
          <t>Gap 22</t>
        </is>
      </c>
      <c r="B22" t="n">
        <v>0</v>
      </c>
    </row>
    <row r="23">
      <c r="A23" t="inlineStr">
        <is>
          <t>Gap 23</t>
        </is>
      </c>
      <c r="B23" t="n">
        <v>7</v>
      </c>
    </row>
    <row r="24">
      <c r="A24" t="inlineStr">
        <is>
          <t>Gap 24</t>
        </is>
      </c>
      <c r="B24" t="n">
        <v>3</v>
      </c>
    </row>
    <row r="25">
      <c r="A25" t="inlineStr">
        <is>
          <t>Gap 25</t>
        </is>
      </c>
      <c r="B25" t="n">
        <v>10</v>
      </c>
    </row>
    <row r="26">
      <c r="A26" t="inlineStr">
        <is>
          <t>Gap 26</t>
        </is>
      </c>
      <c r="B26" t="n">
        <v>6</v>
      </c>
    </row>
    <row r="27">
      <c r="A27" t="inlineStr">
        <is>
          <t>Gap 27</t>
        </is>
      </c>
      <c r="B27" t="n">
        <v>2</v>
      </c>
    </row>
    <row r="28">
      <c r="A28" t="inlineStr">
        <is>
          <t>Gap 28</t>
        </is>
      </c>
      <c r="B28" t="n">
        <v>9</v>
      </c>
    </row>
    <row r="29">
      <c r="A29" t="inlineStr">
        <is>
          <t>Gap 29</t>
        </is>
      </c>
      <c r="B2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</t>
        </is>
      </c>
      <c r="B1" t="n">
        <v>12</v>
      </c>
    </row>
    <row r="2">
      <c r="A2" t="inlineStr">
        <is>
          <t>South</t>
        </is>
      </c>
      <c r="B2" t="n">
        <v>7</v>
      </c>
    </row>
    <row r="3">
      <c r="A3" t="inlineStr">
        <is>
          <t>East</t>
        </is>
      </c>
      <c r="B3" t="n">
        <v>9</v>
      </c>
    </row>
    <row r="4">
      <c r="A4" t="inlineStr">
        <is>
          <t>West</t>
        </is>
      </c>
      <c r="B4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2026-10-25T09:45:51Z</dcterms:created>
  <dcterms:modified xmlns:dcterms="http://purl.org/dc/terms/" xmlns:xsi="http://www.w3.org/2001/XMLSchema-instance" xsi:type="dcterms:W3CDTF">2026-10-25T09:45:51Z</dcterms:modified>
</cp:coreProperties>
</file>